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tin\Downloads\"/>
    </mc:Choice>
  </mc:AlternateContent>
  <xr:revisionPtr revIDLastSave="0" documentId="13_ncr:1_{403D1D08-DB8D-46D5-B8CD-FD4FB6DDE01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2" i="1"/>
</calcChain>
</file>

<file path=xl/sharedStrings.xml><?xml version="1.0" encoding="utf-8"?>
<sst xmlns="http://schemas.openxmlformats.org/spreadsheetml/2006/main" count="4012" uniqueCount="826">
  <si>
    <t>APID</t>
  </si>
  <si>
    <t>Vendor</t>
  </si>
  <si>
    <t>InvoiceDate</t>
  </si>
  <si>
    <t>DueDate</t>
  </si>
  <si>
    <t>Amount</t>
  </si>
  <si>
    <t>Currency</t>
  </si>
  <si>
    <t>Status</t>
  </si>
  <si>
    <t>PaidDate</t>
  </si>
  <si>
    <t>Terms</t>
  </si>
  <si>
    <t>AP10000</t>
  </si>
  <si>
    <t>AP10001</t>
  </si>
  <si>
    <t>AP10002</t>
  </si>
  <si>
    <t>AP10003</t>
  </si>
  <si>
    <t>AP10004</t>
  </si>
  <si>
    <t>AP10005</t>
  </si>
  <si>
    <t>AP10006</t>
  </si>
  <si>
    <t>AP10007</t>
  </si>
  <si>
    <t>AP10008</t>
  </si>
  <si>
    <t>AP10009</t>
  </si>
  <si>
    <t>AP10010</t>
  </si>
  <si>
    <t>AP10011</t>
  </si>
  <si>
    <t>AP10012</t>
  </si>
  <si>
    <t>AP10013</t>
  </si>
  <si>
    <t>AP10014</t>
  </si>
  <si>
    <t>AP10015</t>
  </si>
  <si>
    <t>AP10016</t>
  </si>
  <si>
    <t>AP10017</t>
  </si>
  <si>
    <t>AP10018</t>
  </si>
  <si>
    <t>AP10019</t>
  </si>
  <si>
    <t>AP10020</t>
  </si>
  <si>
    <t>AP10021</t>
  </si>
  <si>
    <t>AP10022</t>
  </si>
  <si>
    <t>AP10023</t>
  </si>
  <si>
    <t>AP10024</t>
  </si>
  <si>
    <t>AP10025</t>
  </si>
  <si>
    <t>AP10026</t>
  </si>
  <si>
    <t>AP10027</t>
  </si>
  <si>
    <t>AP10028</t>
  </si>
  <si>
    <t>AP10029</t>
  </si>
  <si>
    <t>AP10030</t>
  </si>
  <si>
    <t>AP10031</t>
  </si>
  <si>
    <t>AP10032</t>
  </si>
  <si>
    <t>AP10033</t>
  </si>
  <si>
    <t>AP10034</t>
  </si>
  <si>
    <t>AP10035</t>
  </si>
  <si>
    <t>AP10036</t>
  </si>
  <si>
    <t>AP10037</t>
  </si>
  <si>
    <t>AP10038</t>
  </si>
  <si>
    <t>AP10039</t>
  </si>
  <si>
    <t>AP10040</t>
  </si>
  <si>
    <t>AP10041</t>
  </si>
  <si>
    <t>AP10042</t>
  </si>
  <si>
    <t>AP10043</t>
  </si>
  <si>
    <t>AP10044</t>
  </si>
  <si>
    <t>AP10045</t>
  </si>
  <si>
    <t>AP10046</t>
  </si>
  <si>
    <t>AP10047</t>
  </si>
  <si>
    <t>AP10048</t>
  </si>
  <si>
    <t>AP10049</t>
  </si>
  <si>
    <t>AP10050</t>
  </si>
  <si>
    <t>AP10051</t>
  </si>
  <si>
    <t>AP10052</t>
  </si>
  <si>
    <t>AP10053</t>
  </si>
  <si>
    <t>AP10054</t>
  </si>
  <si>
    <t>AP10055</t>
  </si>
  <si>
    <t>AP10056</t>
  </si>
  <si>
    <t>AP10057</t>
  </si>
  <si>
    <t>AP10058</t>
  </si>
  <si>
    <t>AP10059</t>
  </si>
  <si>
    <t>AP10060</t>
  </si>
  <si>
    <t>AP10061</t>
  </si>
  <si>
    <t>AP10062</t>
  </si>
  <si>
    <t>AP10063</t>
  </si>
  <si>
    <t>AP10064</t>
  </si>
  <si>
    <t>AP10065</t>
  </si>
  <si>
    <t>AP10066</t>
  </si>
  <si>
    <t>AP10067</t>
  </si>
  <si>
    <t>AP10068</t>
  </si>
  <si>
    <t>AP10069</t>
  </si>
  <si>
    <t>AP10070</t>
  </si>
  <si>
    <t>AP10071</t>
  </si>
  <si>
    <t>AP10072</t>
  </si>
  <si>
    <t>AP10073</t>
  </si>
  <si>
    <t>AP10074</t>
  </si>
  <si>
    <t>AP10075</t>
  </si>
  <si>
    <t>AP10076</t>
  </si>
  <si>
    <t>AP10077</t>
  </si>
  <si>
    <t>AP10078</t>
  </si>
  <si>
    <t>AP10079</t>
  </si>
  <si>
    <t>AP10080</t>
  </si>
  <si>
    <t>AP10081</t>
  </si>
  <si>
    <t>AP10082</t>
  </si>
  <si>
    <t>AP10083</t>
  </si>
  <si>
    <t>AP10084</t>
  </si>
  <si>
    <t>AP10085</t>
  </si>
  <si>
    <t>AP10086</t>
  </si>
  <si>
    <t>AP10087</t>
  </si>
  <si>
    <t>AP10088</t>
  </si>
  <si>
    <t>AP10089</t>
  </si>
  <si>
    <t>AP10090</t>
  </si>
  <si>
    <t>AP10091</t>
  </si>
  <si>
    <t>AP10092</t>
  </si>
  <si>
    <t>AP10093</t>
  </si>
  <si>
    <t>AP10094</t>
  </si>
  <si>
    <t>AP10095</t>
  </si>
  <si>
    <t>AP10096</t>
  </si>
  <si>
    <t>AP10097</t>
  </si>
  <si>
    <t>AP10098</t>
  </si>
  <si>
    <t>AP10099</t>
  </si>
  <si>
    <t>AP10100</t>
  </si>
  <si>
    <t>AP10101</t>
  </si>
  <si>
    <t>AP10102</t>
  </si>
  <si>
    <t>AP10103</t>
  </si>
  <si>
    <t>AP10104</t>
  </si>
  <si>
    <t>AP10105</t>
  </si>
  <si>
    <t>AP10106</t>
  </si>
  <si>
    <t>AP10107</t>
  </si>
  <si>
    <t>AP10108</t>
  </si>
  <si>
    <t>AP10109</t>
  </si>
  <si>
    <t>AP10110</t>
  </si>
  <si>
    <t>AP10111</t>
  </si>
  <si>
    <t>AP10112</t>
  </si>
  <si>
    <t>AP10113</t>
  </si>
  <si>
    <t>AP10114</t>
  </si>
  <si>
    <t>AP10115</t>
  </si>
  <si>
    <t>AP10116</t>
  </si>
  <si>
    <t>AP10117</t>
  </si>
  <si>
    <t>AP10118</t>
  </si>
  <si>
    <t>AP10119</t>
  </si>
  <si>
    <t>AP10120</t>
  </si>
  <si>
    <t>AP10121</t>
  </si>
  <si>
    <t>AP10122</t>
  </si>
  <si>
    <t>AP10123</t>
  </si>
  <si>
    <t>AP10124</t>
  </si>
  <si>
    <t>AP10125</t>
  </si>
  <si>
    <t>AP10126</t>
  </si>
  <si>
    <t>AP10127</t>
  </si>
  <si>
    <t>AP10128</t>
  </si>
  <si>
    <t>AP10129</t>
  </si>
  <si>
    <t>AP10130</t>
  </si>
  <si>
    <t>AP10131</t>
  </si>
  <si>
    <t>AP10132</t>
  </si>
  <si>
    <t>AP10133</t>
  </si>
  <si>
    <t>AP10134</t>
  </si>
  <si>
    <t>AP10135</t>
  </si>
  <si>
    <t>AP10136</t>
  </si>
  <si>
    <t>AP10137</t>
  </si>
  <si>
    <t>AP10138</t>
  </si>
  <si>
    <t>AP10139</t>
  </si>
  <si>
    <t>AP10140</t>
  </si>
  <si>
    <t>AP10141</t>
  </si>
  <si>
    <t>AP10142</t>
  </si>
  <si>
    <t>AP10143</t>
  </si>
  <si>
    <t>AP10144</t>
  </si>
  <si>
    <t>AP10145</t>
  </si>
  <si>
    <t>AP10146</t>
  </si>
  <si>
    <t>AP10147</t>
  </si>
  <si>
    <t>AP10148</t>
  </si>
  <si>
    <t>AP10149</t>
  </si>
  <si>
    <t>AP10150</t>
  </si>
  <si>
    <t>AP10151</t>
  </si>
  <si>
    <t>AP10152</t>
  </si>
  <si>
    <t>AP10153</t>
  </si>
  <si>
    <t>AP10154</t>
  </si>
  <si>
    <t>AP10155</t>
  </si>
  <si>
    <t>AP10156</t>
  </si>
  <si>
    <t>AP10157</t>
  </si>
  <si>
    <t>AP10158</t>
  </si>
  <si>
    <t>AP10159</t>
  </si>
  <si>
    <t>AP10160</t>
  </si>
  <si>
    <t>AP10161</t>
  </si>
  <si>
    <t>AP10162</t>
  </si>
  <si>
    <t>AP10163</t>
  </si>
  <si>
    <t>AP10164</t>
  </si>
  <si>
    <t>AP10165</t>
  </si>
  <si>
    <t>AP10166</t>
  </si>
  <si>
    <t>AP10167</t>
  </si>
  <si>
    <t>AP10168</t>
  </si>
  <si>
    <t>AP10169</t>
  </si>
  <si>
    <t>AP10170</t>
  </si>
  <si>
    <t>AP10171</t>
  </si>
  <si>
    <t>AP10172</t>
  </si>
  <si>
    <t>AP10173</t>
  </si>
  <si>
    <t>AP10174</t>
  </si>
  <si>
    <t>AP10175</t>
  </si>
  <si>
    <t>AP10176</t>
  </si>
  <si>
    <t>AP10177</t>
  </si>
  <si>
    <t>AP10178</t>
  </si>
  <si>
    <t>AP10179</t>
  </si>
  <si>
    <t>AP10180</t>
  </si>
  <si>
    <t>AP10181</t>
  </si>
  <si>
    <t>AP10182</t>
  </si>
  <si>
    <t>AP10183</t>
  </si>
  <si>
    <t>AP10184</t>
  </si>
  <si>
    <t>AP10185</t>
  </si>
  <si>
    <t>AP10186</t>
  </si>
  <si>
    <t>AP10187</t>
  </si>
  <si>
    <t>AP10188</t>
  </si>
  <si>
    <t>AP10189</t>
  </si>
  <si>
    <t>AP10190</t>
  </si>
  <si>
    <t>AP10191</t>
  </si>
  <si>
    <t>AP10192</t>
  </si>
  <si>
    <t>AP10193</t>
  </si>
  <si>
    <t>AP10194</t>
  </si>
  <si>
    <t>AP10195</t>
  </si>
  <si>
    <t>AP10196</t>
  </si>
  <si>
    <t>AP10197</t>
  </si>
  <si>
    <t>AP10198</t>
  </si>
  <si>
    <t>AP10199</t>
  </si>
  <si>
    <t>AP10200</t>
  </si>
  <si>
    <t>AP10201</t>
  </si>
  <si>
    <t>AP10202</t>
  </si>
  <si>
    <t>AP10203</t>
  </si>
  <si>
    <t>AP10204</t>
  </si>
  <si>
    <t>AP10205</t>
  </si>
  <si>
    <t>AP10206</t>
  </si>
  <si>
    <t>AP10207</t>
  </si>
  <si>
    <t>AP10208</t>
  </si>
  <si>
    <t>AP10209</t>
  </si>
  <si>
    <t>AP10210</t>
  </si>
  <si>
    <t>AP10211</t>
  </si>
  <si>
    <t>AP10212</t>
  </si>
  <si>
    <t>AP10213</t>
  </si>
  <si>
    <t>AP10214</t>
  </si>
  <si>
    <t>AP10215</t>
  </si>
  <si>
    <t>AP10216</t>
  </si>
  <si>
    <t>AP10217</t>
  </si>
  <si>
    <t>AP10218</t>
  </si>
  <si>
    <t>AP10219</t>
  </si>
  <si>
    <t>AP10220</t>
  </si>
  <si>
    <t>AP10221</t>
  </si>
  <si>
    <t>AP10222</t>
  </si>
  <si>
    <t>AP10223</t>
  </si>
  <si>
    <t>AP10224</t>
  </si>
  <si>
    <t>AP10225</t>
  </si>
  <si>
    <t>AP10226</t>
  </si>
  <si>
    <t>AP10227</t>
  </si>
  <si>
    <t>AP10228</t>
  </si>
  <si>
    <t>AP10229</t>
  </si>
  <si>
    <t>AP10230</t>
  </si>
  <si>
    <t>AP10231</t>
  </si>
  <si>
    <t>AP10232</t>
  </si>
  <si>
    <t>AP10233</t>
  </si>
  <si>
    <t>AP10234</t>
  </si>
  <si>
    <t>AP10235</t>
  </si>
  <si>
    <t>AP10236</t>
  </si>
  <si>
    <t>AP10237</t>
  </si>
  <si>
    <t>AP10238</t>
  </si>
  <si>
    <t>AP10239</t>
  </si>
  <si>
    <t>AP10240</t>
  </si>
  <si>
    <t>AP10241</t>
  </si>
  <si>
    <t>AP10242</t>
  </si>
  <si>
    <t>AP10243</t>
  </si>
  <si>
    <t>AP10244</t>
  </si>
  <si>
    <t>AP10245</t>
  </si>
  <si>
    <t>AP10246</t>
  </si>
  <si>
    <t>AP10247</t>
  </si>
  <si>
    <t>AP10248</t>
  </si>
  <si>
    <t>AP10249</t>
  </si>
  <si>
    <t>AP10250</t>
  </si>
  <si>
    <t>AP10251</t>
  </si>
  <si>
    <t>AP10252</t>
  </si>
  <si>
    <t>AP10253</t>
  </si>
  <si>
    <t>AP10254</t>
  </si>
  <si>
    <t>AP10255</t>
  </si>
  <si>
    <t>AP10256</t>
  </si>
  <si>
    <t>AP10257</t>
  </si>
  <si>
    <t>AP10258</t>
  </si>
  <si>
    <t>AP10259</t>
  </si>
  <si>
    <t>AP10260</t>
  </si>
  <si>
    <t>AP10261</t>
  </si>
  <si>
    <t>AP10262</t>
  </si>
  <si>
    <t>AP10263</t>
  </si>
  <si>
    <t>AP10264</t>
  </si>
  <si>
    <t>AP10265</t>
  </si>
  <si>
    <t>AP10266</t>
  </si>
  <si>
    <t>AP10267</t>
  </si>
  <si>
    <t>AP10268</t>
  </si>
  <si>
    <t>AP10269</t>
  </si>
  <si>
    <t>AP10270</t>
  </si>
  <si>
    <t>AP10271</t>
  </si>
  <si>
    <t>AP10272</t>
  </si>
  <si>
    <t>AP10273</t>
  </si>
  <si>
    <t>AP10274</t>
  </si>
  <si>
    <t>AP10275</t>
  </si>
  <si>
    <t>AP10276</t>
  </si>
  <si>
    <t>AP10277</t>
  </si>
  <si>
    <t>AP10278</t>
  </si>
  <si>
    <t>AP10279</t>
  </si>
  <si>
    <t>AP10280</t>
  </si>
  <si>
    <t>AP10281</t>
  </si>
  <si>
    <t>AP10282</t>
  </si>
  <si>
    <t>AP10283</t>
  </si>
  <si>
    <t>AP10284</t>
  </si>
  <si>
    <t>AP10285</t>
  </si>
  <si>
    <t>AP10286</t>
  </si>
  <si>
    <t>AP10287</t>
  </si>
  <si>
    <t>AP10288</t>
  </si>
  <si>
    <t>AP10289</t>
  </si>
  <si>
    <t>AP10290</t>
  </si>
  <si>
    <t>AP10291</t>
  </si>
  <si>
    <t>AP10292</t>
  </si>
  <si>
    <t>AP10293</t>
  </si>
  <si>
    <t>AP10294</t>
  </si>
  <si>
    <t>AP10295</t>
  </si>
  <si>
    <t>AP10296</t>
  </si>
  <si>
    <t>AP10297</t>
  </si>
  <si>
    <t>AP10298</t>
  </si>
  <si>
    <t>AP10299</t>
  </si>
  <si>
    <t>AP10300</t>
  </si>
  <si>
    <t>AP10301</t>
  </si>
  <si>
    <t>AP10302</t>
  </si>
  <si>
    <t>AP10303</t>
  </si>
  <si>
    <t>AP10304</t>
  </si>
  <si>
    <t>AP10305</t>
  </si>
  <si>
    <t>AP10306</t>
  </si>
  <si>
    <t>AP10307</t>
  </si>
  <si>
    <t>AP10308</t>
  </si>
  <si>
    <t>AP10309</t>
  </si>
  <si>
    <t>AP10310</t>
  </si>
  <si>
    <t>AP10311</t>
  </si>
  <si>
    <t>AP10312</t>
  </si>
  <si>
    <t>AP10313</t>
  </si>
  <si>
    <t>AP10314</t>
  </si>
  <si>
    <t>AP10315</t>
  </si>
  <si>
    <t>AP10316</t>
  </si>
  <si>
    <t>AP10317</t>
  </si>
  <si>
    <t>AP10318</t>
  </si>
  <si>
    <t>AP10319</t>
  </si>
  <si>
    <t>AP10320</t>
  </si>
  <si>
    <t>AP10321</t>
  </si>
  <si>
    <t>AP10322</t>
  </si>
  <si>
    <t>AP10323</t>
  </si>
  <si>
    <t>AP10324</t>
  </si>
  <si>
    <t>AP10325</t>
  </si>
  <si>
    <t>AP10326</t>
  </si>
  <si>
    <t>AP10327</t>
  </si>
  <si>
    <t>AP10328</t>
  </si>
  <si>
    <t>AP10329</t>
  </si>
  <si>
    <t>AP10330</t>
  </si>
  <si>
    <t>AP10331</t>
  </si>
  <si>
    <t>AP10332</t>
  </si>
  <si>
    <t>AP10333</t>
  </si>
  <si>
    <t>AP10334</t>
  </si>
  <si>
    <t>AP10335</t>
  </si>
  <si>
    <t>AP10336</t>
  </si>
  <si>
    <t>AP10337</t>
  </si>
  <si>
    <t>AP10338</t>
  </si>
  <si>
    <t>AP10339</t>
  </si>
  <si>
    <t>AP10340</t>
  </si>
  <si>
    <t>AP10341</t>
  </si>
  <si>
    <t>AP10342</t>
  </si>
  <si>
    <t>AP10343</t>
  </si>
  <si>
    <t>AP10344</t>
  </si>
  <si>
    <t>AP10345</t>
  </si>
  <si>
    <t>AP10346</t>
  </si>
  <si>
    <t>AP10347</t>
  </si>
  <si>
    <t>AP10348</t>
  </si>
  <si>
    <t>AP10349</t>
  </si>
  <si>
    <t>AP10350</t>
  </si>
  <si>
    <t>AP10351</t>
  </si>
  <si>
    <t>AP10352</t>
  </si>
  <si>
    <t>AP10353</t>
  </si>
  <si>
    <t>AP10354</t>
  </si>
  <si>
    <t>AP10355</t>
  </si>
  <si>
    <t>AP10356</t>
  </si>
  <si>
    <t>AP10357</t>
  </si>
  <si>
    <t>AP10358</t>
  </si>
  <si>
    <t>AP10359</t>
  </si>
  <si>
    <t>AP10360</t>
  </si>
  <si>
    <t>AP10361</t>
  </si>
  <si>
    <t>AP10362</t>
  </si>
  <si>
    <t>AP10363</t>
  </si>
  <si>
    <t>AP10364</t>
  </si>
  <si>
    <t>AP10365</t>
  </si>
  <si>
    <t>AP10366</t>
  </si>
  <si>
    <t>AP10367</t>
  </si>
  <si>
    <t>AP10368</t>
  </si>
  <si>
    <t>AP10369</t>
  </si>
  <si>
    <t>AP10370</t>
  </si>
  <si>
    <t>AP10371</t>
  </si>
  <si>
    <t>AP10372</t>
  </si>
  <si>
    <t>AP10373</t>
  </si>
  <si>
    <t>AP10374</t>
  </si>
  <si>
    <t>AP10375</t>
  </si>
  <si>
    <t>AP10376</t>
  </si>
  <si>
    <t>AP10377</t>
  </si>
  <si>
    <t>AP10378</t>
  </si>
  <si>
    <t>AP10379</t>
  </si>
  <si>
    <t>AP10380</t>
  </si>
  <si>
    <t>AP10381</t>
  </si>
  <si>
    <t>AP10382</t>
  </si>
  <si>
    <t>AP10383</t>
  </si>
  <si>
    <t>AP10384</t>
  </si>
  <si>
    <t>AP10385</t>
  </si>
  <si>
    <t>AP10386</t>
  </si>
  <si>
    <t>AP10387</t>
  </si>
  <si>
    <t>AP10388</t>
  </si>
  <si>
    <t>AP10389</t>
  </si>
  <si>
    <t>AP10390</t>
  </si>
  <si>
    <t>AP10391</t>
  </si>
  <si>
    <t>AP10392</t>
  </si>
  <si>
    <t>AP10393</t>
  </si>
  <si>
    <t>AP10394</t>
  </si>
  <si>
    <t>AP10395</t>
  </si>
  <si>
    <t>AP10396</t>
  </si>
  <si>
    <t>AP10397</t>
  </si>
  <si>
    <t>AP10398</t>
  </si>
  <si>
    <t>AP10399</t>
  </si>
  <si>
    <t>AP10400</t>
  </si>
  <si>
    <t>AP10401</t>
  </si>
  <si>
    <t>AP10402</t>
  </si>
  <si>
    <t>AP10403</t>
  </si>
  <si>
    <t>AP10404</t>
  </si>
  <si>
    <t>AP10405</t>
  </si>
  <si>
    <t>AP10406</t>
  </si>
  <si>
    <t>AP10407</t>
  </si>
  <si>
    <t>AP10408</t>
  </si>
  <si>
    <t>AP10409</t>
  </si>
  <si>
    <t>AP10410</t>
  </si>
  <si>
    <t>AP10411</t>
  </si>
  <si>
    <t>AP10412</t>
  </si>
  <si>
    <t>AP10413</t>
  </si>
  <si>
    <t>AP10414</t>
  </si>
  <si>
    <t>AP10415</t>
  </si>
  <si>
    <t>AP10416</t>
  </si>
  <si>
    <t>AP10417</t>
  </si>
  <si>
    <t>AP10418</t>
  </si>
  <si>
    <t>AP10419</t>
  </si>
  <si>
    <t>AP10420</t>
  </si>
  <si>
    <t>AP10421</t>
  </si>
  <si>
    <t>AP10422</t>
  </si>
  <si>
    <t>AP10423</t>
  </si>
  <si>
    <t>AP10424</t>
  </si>
  <si>
    <t>AP10425</t>
  </si>
  <si>
    <t>AP10426</t>
  </si>
  <si>
    <t>AP10427</t>
  </si>
  <si>
    <t>AP10428</t>
  </si>
  <si>
    <t>AP10429</t>
  </si>
  <si>
    <t>AP10430</t>
  </si>
  <si>
    <t>AP10431</t>
  </si>
  <si>
    <t>AP10432</t>
  </si>
  <si>
    <t>AP10433</t>
  </si>
  <si>
    <t>AP10434</t>
  </si>
  <si>
    <t>AP10435</t>
  </si>
  <si>
    <t>AP10436</t>
  </si>
  <si>
    <t>AP10437</t>
  </si>
  <si>
    <t>AP10438</t>
  </si>
  <si>
    <t>AP10439</t>
  </si>
  <si>
    <t>AP10440</t>
  </si>
  <si>
    <t>AP10441</t>
  </si>
  <si>
    <t>AP10442</t>
  </si>
  <si>
    <t>AP10443</t>
  </si>
  <si>
    <t>AP10444</t>
  </si>
  <si>
    <t>AP10445</t>
  </si>
  <si>
    <t>AP10446</t>
  </si>
  <si>
    <t>AP10447</t>
  </si>
  <si>
    <t>AP10448</t>
  </si>
  <si>
    <t>AP10449</t>
  </si>
  <si>
    <t>AP10450</t>
  </si>
  <si>
    <t>AP10451</t>
  </si>
  <si>
    <t>AP10452</t>
  </si>
  <si>
    <t>AP10453</t>
  </si>
  <si>
    <t>AP10454</t>
  </si>
  <si>
    <t>AP10455</t>
  </si>
  <si>
    <t>AP10456</t>
  </si>
  <si>
    <t>AP10457</t>
  </si>
  <si>
    <t>AP10458</t>
  </si>
  <si>
    <t>AP10459</t>
  </si>
  <si>
    <t>AP10460</t>
  </si>
  <si>
    <t>AP10461</t>
  </si>
  <si>
    <t>AP10462</t>
  </si>
  <si>
    <t>AP10463</t>
  </si>
  <si>
    <t>AP10464</t>
  </si>
  <si>
    <t>AP10465</t>
  </si>
  <si>
    <t>AP10466</t>
  </si>
  <si>
    <t>AP10467</t>
  </si>
  <si>
    <t>AP10468</t>
  </si>
  <si>
    <t>AP10469</t>
  </si>
  <si>
    <t>AP10470</t>
  </si>
  <si>
    <t>AP10471</t>
  </si>
  <si>
    <t>AP10472</t>
  </si>
  <si>
    <t>AP10473</t>
  </si>
  <si>
    <t>AP10474</t>
  </si>
  <si>
    <t>AP10475</t>
  </si>
  <si>
    <t>AP10476</t>
  </si>
  <si>
    <t>AP10477</t>
  </si>
  <si>
    <t>AP10478</t>
  </si>
  <si>
    <t>AP10479</t>
  </si>
  <si>
    <t>AP10480</t>
  </si>
  <si>
    <t>AP10481</t>
  </si>
  <si>
    <t>AP10482</t>
  </si>
  <si>
    <t>AP10483</t>
  </si>
  <si>
    <t>AP10484</t>
  </si>
  <si>
    <t>AP10485</t>
  </si>
  <si>
    <t>AP10486</t>
  </si>
  <si>
    <t>AP10487</t>
  </si>
  <si>
    <t>AP10488</t>
  </si>
  <si>
    <t>AP10489</t>
  </si>
  <si>
    <t>AP10490</t>
  </si>
  <si>
    <t>AP10491</t>
  </si>
  <si>
    <t>AP10492</t>
  </si>
  <si>
    <t>AP10493</t>
  </si>
  <si>
    <t>AP10494</t>
  </si>
  <si>
    <t>AP10495</t>
  </si>
  <si>
    <t>AP10496</t>
  </si>
  <si>
    <t>AP10497</t>
  </si>
  <si>
    <t>AP10498</t>
  </si>
  <si>
    <t>AP10499</t>
  </si>
  <si>
    <t>AP10500</t>
  </si>
  <si>
    <t>AP10501</t>
  </si>
  <si>
    <t>AP10502</t>
  </si>
  <si>
    <t>AP10503</t>
  </si>
  <si>
    <t>AP10504</t>
  </si>
  <si>
    <t>AP10505</t>
  </si>
  <si>
    <t>AP10506</t>
  </si>
  <si>
    <t>AP10507</t>
  </si>
  <si>
    <t>AP10508</t>
  </si>
  <si>
    <t>AP10509</t>
  </si>
  <si>
    <t>AP10510</t>
  </si>
  <si>
    <t>AP10511</t>
  </si>
  <si>
    <t>AP10512</t>
  </si>
  <si>
    <t>AP10513</t>
  </si>
  <si>
    <t>AP10514</t>
  </si>
  <si>
    <t>AP10515</t>
  </si>
  <si>
    <t>AP10516</t>
  </si>
  <si>
    <t>AP10517</t>
  </si>
  <si>
    <t>AP10518</t>
  </si>
  <si>
    <t>AP10519</t>
  </si>
  <si>
    <t>AP10520</t>
  </si>
  <si>
    <t>AP10521</t>
  </si>
  <si>
    <t>AP10522</t>
  </si>
  <si>
    <t>AP10523</t>
  </si>
  <si>
    <t>AP10524</t>
  </si>
  <si>
    <t>AP10525</t>
  </si>
  <si>
    <t>AP10526</t>
  </si>
  <si>
    <t>AP10527</t>
  </si>
  <si>
    <t>AP10528</t>
  </si>
  <si>
    <t>AP10529</t>
  </si>
  <si>
    <t>AP10530</t>
  </si>
  <si>
    <t>AP10531</t>
  </si>
  <si>
    <t>AP10532</t>
  </si>
  <si>
    <t>AP10533</t>
  </si>
  <si>
    <t>AP10534</t>
  </si>
  <si>
    <t>AP10535</t>
  </si>
  <si>
    <t>AP10536</t>
  </si>
  <si>
    <t>AP10537</t>
  </si>
  <si>
    <t>AP10538</t>
  </si>
  <si>
    <t>AP10539</t>
  </si>
  <si>
    <t>AP10540</t>
  </si>
  <si>
    <t>AP10541</t>
  </si>
  <si>
    <t>AP10542</t>
  </si>
  <si>
    <t>AP10543</t>
  </si>
  <si>
    <t>AP10544</t>
  </si>
  <si>
    <t>AP10545</t>
  </si>
  <si>
    <t>AP10546</t>
  </si>
  <si>
    <t>AP10547</t>
  </si>
  <si>
    <t>AP10548</t>
  </si>
  <si>
    <t>AP10549</t>
  </si>
  <si>
    <t>AP10550</t>
  </si>
  <si>
    <t>AP10551</t>
  </si>
  <si>
    <t>AP10552</t>
  </si>
  <si>
    <t>AP10553</t>
  </si>
  <si>
    <t>AP10554</t>
  </si>
  <si>
    <t>AP10555</t>
  </si>
  <si>
    <t>AP10556</t>
  </si>
  <si>
    <t>AP10557</t>
  </si>
  <si>
    <t>AP10558</t>
  </si>
  <si>
    <t>AP10559</t>
  </si>
  <si>
    <t>AP10560</t>
  </si>
  <si>
    <t>AP10561</t>
  </si>
  <si>
    <t>AP10562</t>
  </si>
  <si>
    <t>AP10563</t>
  </si>
  <si>
    <t>AP10564</t>
  </si>
  <si>
    <t>AP10565</t>
  </si>
  <si>
    <t>AP10566</t>
  </si>
  <si>
    <t>AP10567</t>
  </si>
  <si>
    <t>AP10568</t>
  </si>
  <si>
    <t>AP10569</t>
  </si>
  <si>
    <t>AP10570</t>
  </si>
  <si>
    <t>AP10571</t>
  </si>
  <si>
    <t>AP10572</t>
  </si>
  <si>
    <t>AP10573</t>
  </si>
  <si>
    <t>AP10574</t>
  </si>
  <si>
    <t>AP10575</t>
  </si>
  <si>
    <t>AP10576</t>
  </si>
  <si>
    <t>AP10577</t>
  </si>
  <si>
    <t>AP10578</t>
  </si>
  <si>
    <t>AP10579</t>
  </si>
  <si>
    <t>AP10580</t>
  </si>
  <si>
    <t>AP10581</t>
  </si>
  <si>
    <t>AP10582</t>
  </si>
  <si>
    <t>AP10583</t>
  </si>
  <si>
    <t>AP10584</t>
  </si>
  <si>
    <t>AP10585</t>
  </si>
  <si>
    <t>AP10586</t>
  </si>
  <si>
    <t>AP10587</t>
  </si>
  <si>
    <t>AP10588</t>
  </si>
  <si>
    <t>AP10589</t>
  </si>
  <si>
    <t>AP10590</t>
  </si>
  <si>
    <t>AP10591</t>
  </si>
  <si>
    <t>AP10592</t>
  </si>
  <si>
    <t>AP10593</t>
  </si>
  <si>
    <t>AP10594</t>
  </si>
  <si>
    <t>AP10595</t>
  </si>
  <si>
    <t>AP10596</t>
  </si>
  <si>
    <t>AP10597</t>
  </si>
  <si>
    <t>AP10598</t>
  </si>
  <si>
    <t>AP10599</t>
  </si>
  <si>
    <t>AP10600</t>
  </si>
  <si>
    <t>AP10601</t>
  </si>
  <si>
    <t>AP10602</t>
  </si>
  <si>
    <t>AP10603</t>
  </si>
  <si>
    <t>AP10604</t>
  </si>
  <si>
    <t>AP10605</t>
  </si>
  <si>
    <t>AP10606</t>
  </si>
  <si>
    <t>AP10607</t>
  </si>
  <si>
    <t>AP10608</t>
  </si>
  <si>
    <t>AP10609</t>
  </si>
  <si>
    <t>AP10610</t>
  </si>
  <si>
    <t>AP10611</t>
  </si>
  <si>
    <t>AP10612</t>
  </si>
  <si>
    <t>AP10613</t>
  </si>
  <si>
    <t>AP10614</t>
  </si>
  <si>
    <t>AP10615</t>
  </si>
  <si>
    <t>AP10616</t>
  </si>
  <si>
    <t>AP10617</t>
  </si>
  <si>
    <t>AP10618</t>
  </si>
  <si>
    <t>AP10619</t>
  </si>
  <si>
    <t>AP10620</t>
  </si>
  <si>
    <t>AP10621</t>
  </si>
  <si>
    <t>AP10622</t>
  </si>
  <si>
    <t>AP10623</t>
  </si>
  <si>
    <t>AP10624</t>
  </si>
  <si>
    <t>AP10625</t>
  </si>
  <si>
    <t>AP10626</t>
  </si>
  <si>
    <t>AP10627</t>
  </si>
  <si>
    <t>AP10628</t>
  </si>
  <si>
    <t>AP10629</t>
  </si>
  <si>
    <t>AP10630</t>
  </si>
  <si>
    <t>AP10631</t>
  </si>
  <si>
    <t>AP10632</t>
  </si>
  <si>
    <t>AP10633</t>
  </si>
  <si>
    <t>AP10634</t>
  </si>
  <si>
    <t>AP10635</t>
  </si>
  <si>
    <t>AP10636</t>
  </si>
  <si>
    <t>AP10637</t>
  </si>
  <si>
    <t>AP10638</t>
  </si>
  <si>
    <t>AP10639</t>
  </si>
  <si>
    <t>AP10640</t>
  </si>
  <si>
    <t>AP10641</t>
  </si>
  <si>
    <t>AP10642</t>
  </si>
  <si>
    <t>AP10643</t>
  </si>
  <si>
    <t>AP10644</t>
  </si>
  <si>
    <t>AP10645</t>
  </si>
  <si>
    <t>AP10646</t>
  </si>
  <si>
    <t>AP10647</t>
  </si>
  <si>
    <t>AP10648</t>
  </si>
  <si>
    <t>AP10649</t>
  </si>
  <si>
    <t>AP10650</t>
  </si>
  <si>
    <t>AP10651</t>
  </si>
  <si>
    <t>AP10652</t>
  </si>
  <si>
    <t>AP10653</t>
  </si>
  <si>
    <t>AP10654</t>
  </si>
  <si>
    <t>AP10655</t>
  </si>
  <si>
    <t>AP10656</t>
  </si>
  <si>
    <t>AP10657</t>
  </si>
  <si>
    <t>AP10658</t>
  </si>
  <si>
    <t>AP10659</t>
  </si>
  <si>
    <t>AP10660</t>
  </si>
  <si>
    <t>AP10661</t>
  </si>
  <si>
    <t>AP10662</t>
  </si>
  <si>
    <t>AP10663</t>
  </si>
  <si>
    <t>AP10664</t>
  </si>
  <si>
    <t>AP10665</t>
  </si>
  <si>
    <t>AP10666</t>
  </si>
  <si>
    <t>AP10667</t>
  </si>
  <si>
    <t>AP10668</t>
  </si>
  <si>
    <t>AP10669</t>
  </si>
  <si>
    <t>AP10670</t>
  </si>
  <si>
    <t>AP10671</t>
  </si>
  <si>
    <t>AP10672</t>
  </si>
  <si>
    <t>AP10673</t>
  </si>
  <si>
    <t>AP10674</t>
  </si>
  <si>
    <t>AP10675</t>
  </si>
  <si>
    <t>AP10676</t>
  </si>
  <si>
    <t>AP10677</t>
  </si>
  <si>
    <t>AP10678</t>
  </si>
  <si>
    <t>AP10679</t>
  </si>
  <si>
    <t>AP10680</t>
  </si>
  <si>
    <t>AP10681</t>
  </si>
  <si>
    <t>AP10682</t>
  </si>
  <si>
    <t>AP10683</t>
  </si>
  <si>
    <t>AP10684</t>
  </si>
  <si>
    <t>AP10685</t>
  </si>
  <si>
    <t>AP10686</t>
  </si>
  <si>
    <t>AP10687</t>
  </si>
  <si>
    <t>AP10688</t>
  </si>
  <si>
    <t>AP10689</t>
  </si>
  <si>
    <t>AP10690</t>
  </si>
  <si>
    <t>AP10691</t>
  </si>
  <si>
    <t>AP10692</t>
  </si>
  <si>
    <t>AP10693</t>
  </si>
  <si>
    <t>AP10694</t>
  </si>
  <si>
    <t>AP10695</t>
  </si>
  <si>
    <t>AP10696</t>
  </si>
  <si>
    <t>AP10697</t>
  </si>
  <si>
    <t>AP10698</t>
  </si>
  <si>
    <t>AP10699</t>
  </si>
  <si>
    <t>AP10700</t>
  </si>
  <si>
    <t>AP10701</t>
  </si>
  <si>
    <t>AP10702</t>
  </si>
  <si>
    <t>AP10703</t>
  </si>
  <si>
    <t>AP10704</t>
  </si>
  <si>
    <t>AP10705</t>
  </si>
  <si>
    <t>AP10706</t>
  </si>
  <si>
    <t>AP10707</t>
  </si>
  <si>
    <t>AP10708</t>
  </si>
  <si>
    <t>AP10709</t>
  </si>
  <si>
    <t>AP10710</t>
  </si>
  <si>
    <t>AP10711</t>
  </si>
  <si>
    <t>AP10712</t>
  </si>
  <si>
    <t>AP10713</t>
  </si>
  <si>
    <t>AP10714</t>
  </si>
  <si>
    <t>AP10715</t>
  </si>
  <si>
    <t>AP10716</t>
  </si>
  <si>
    <t>AP10717</t>
  </si>
  <si>
    <t>AP10718</t>
  </si>
  <si>
    <t>AP10719</t>
  </si>
  <si>
    <t>AP10720</t>
  </si>
  <si>
    <t>AP10721</t>
  </si>
  <si>
    <t>AP10722</t>
  </si>
  <si>
    <t>AP10723</t>
  </si>
  <si>
    <t>AP10724</t>
  </si>
  <si>
    <t>AP10725</t>
  </si>
  <si>
    <t>AP10726</t>
  </si>
  <si>
    <t>AP10727</t>
  </si>
  <si>
    <t>AP10728</t>
  </si>
  <si>
    <t>AP10729</t>
  </si>
  <si>
    <t>AP10730</t>
  </si>
  <si>
    <t>AP10731</t>
  </si>
  <si>
    <t>AP10732</t>
  </si>
  <si>
    <t>AP10733</t>
  </si>
  <si>
    <t>AP10734</t>
  </si>
  <si>
    <t>AP10735</t>
  </si>
  <si>
    <t>AP10736</t>
  </si>
  <si>
    <t>AP10737</t>
  </si>
  <si>
    <t>AP10738</t>
  </si>
  <si>
    <t>AP10739</t>
  </si>
  <si>
    <t>AP10740</t>
  </si>
  <si>
    <t>AP10741</t>
  </si>
  <si>
    <t>AP10742</t>
  </si>
  <si>
    <t>AP10743</t>
  </si>
  <si>
    <t>AP10744</t>
  </si>
  <si>
    <t>AP10745</t>
  </si>
  <si>
    <t>AP10746</t>
  </si>
  <si>
    <t>AP10747</t>
  </si>
  <si>
    <t>AP10748</t>
  </si>
  <si>
    <t>AP10749</t>
  </si>
  <si>
    <t>AP10750</t>
  </si>
  <si>
    <t>AP10751</t>
  </si>
  <si>
    <t>AP10752</t>
  </si>
  <si>
    <t>AP10753</t>
  </si>
  <si>
    <t>AP10754</t>
  </si>
  <si>
    <t>AP10755</t>
  </si>
  <si>
    <t>AP10756</t>
  </si>
  <si>
    <t>AP10757</t>
  </si>
  <si>
    <t>AP10758</t>
  </si>
  <si>
    <t>AP10759</t>
  </si>
  <si>
    <t>AP10760</t>
  </si>
  <si>
    <t>AP10761</t>
  </si>
  <si>
    <t>AP10762</t>
  </si>
  <si>
    <t>AP10763</t>
  </si>
  <si>
    <t>AP10764</t>
  </si>
  <si>
    <t>AP10765</t>
  </si>
  <si>
    <t>AP10766</t>
  </si>
  <si>
    <t>AP10767</t>
  </si>
  <si>
    <t>AP10768</t>
  </si>
  <si>
    <t>AP10769</t>
  </si>
  <si>
    <t>AP10770</t>
  </si>
  <si>
    <t>AP10771</t>
  </si>
  <si>
    <t>AP10772</t>
  </si>
  <si>
    <t>AP10773</t>
  </si>
  <si>
    <t>AP10774</t>
  </si>
  <si>
    <t>AP10775</t>
  </si>
  <si>
    <t>AP10776</t>
  </si>
  <si>
    <t>AP10777</t>
  </si>
  <si>
    <t>AP10778</t>
  </si>
  <si>
    <t>AP10779</t>
  </si>
  <si>
    <t>AP10780</t>
  </si>
  <si>
    <t>AP10781</t>
  </si>
  <si>
    <t>AP10782</t>
  </si>
  <si>
    <t>AP10783</t>
  </si>
  <si>
    <t>AP10784</t>
  </si>
  <si>
    <t>AP10785</t>
  </si>
  <si>
    <t>AP10786</t>
  </si>
  <si>
    <t>AP10787</t>
  </si>
  <si>
    <t>AP10788</t>
  </si>
  <si>
    <t>AP10789</t>
  </si>
  <si>
    <t>AP10790</t>
  </si>
  <si>
    <t>AP10791</t>
  </si>
  <si>
    <t>AP10792</t>
  </si>
  <si>
    <t>AP10793</t>
  </si>
  <si>
    <t>AP10794</t>
  </si>
  <si>
    <t>AP10795</t>
  </si>
  <si>
    <t>AP10796</t>
  </si>
  <si>
    <t>AP10797</t>
  </si>
  <si>
    <t>AP10798</t>
  </si>
  <si>
    <t>AP10799</t>
  </si>
  <si>
    <t>BluePrints</t>
  </si>
  <si>
    <t>Fast Travel</t>
  </si>
  <si>
    <t>ABC Supplies</t>
  </si>
  <si>
    <t>Global Office</t>
  </si>
  <si>
    <t>TechMart</t>
  </si>
  <si>
    <t>EUR</t>
  </si>
  <si>
    <t>CAD</t>
  </si>
  <si>
    <t>GBP</t>
  </si>
  <si>
    <t>USD</t>
  </si>
  <si>
    <t>AUD</t>
  </si>
  <si>
    <t>Open</t>
  </si>
  <si>
    <t>Partial</t>
  </si>
  <si>
    <t>Paid</t>
  </si>
  <si>
    <t>Net 30</t>
  </si>
  <si>
    <t>Delay Days</t>
  </si>
  <si>
    <t>Payment Status</t>
  </si>
  <si>
    <t>Invoice 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</si>
</sst>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1"/>
  <sheetViews>
    <sheetView tabSelected="1" zoomScale="116" workbookViewId="0">
      <selection activeCell="N6" sqref="N6"/>
    </sheetView>
  </sheetViews>
  <sheetFormatPr defaultRowHeight="14.4" x14ac:dyDescent="0.3"/>
  <cols>
    <col min="3" max="3" width="11" style="3" bestFit="1" customWidth="1"/>
    <col min="4" max="4" width="10.33203125" style="3" bestFit="1" customWidth="1"/>
    <col min="8" max="8" width="10.33203125" style="3" bestFit="1" customWidth="1"/>
    <col min="10" max="10" width="10.109375" bestFit="1" customWidth="1"/>
    <col min="11" max="11" width="14.33203125" bestFit="1" customWidth="1"/>
    <col min="12" max="12" width="12.33203125" bestFit="1" customWidth="1"/>
  </cols>
  <sheetData>
    <row r="1" spans="1:12" x14ac:dyDescent="0.3">
      <c r="A1" s="1" t="s">
        <v>0</v>
      </c>
      <c r="B1" s="1" t="s">
        <v>1</v>
      </c>
      <c r="C1" s="4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2" t="s">
        <v>823</v>
      </c>
      <c r="K1" s="2" t="s">
        <v>824</v>
      </c>
      <c r="L1" s="2" t="s">
        <v>825</v>
      </c>
    </row>
    <row r="2" spans="1:12" x14ac:dyDescent="0.3">
      <c r="A2" t="s">
        <v>9</v>
      </c>
      <c r="B2" t="s">
        <v>809</v>
      </c>
      <c r="C2" s="3">
        <v>45642</v>
      </c>
      <c r="D2" s="3">
        <v>45672</v>
      </c>
      <c r="E2">
        <v>344.25</v>
      </c>
      <c r="F2" t="s">
        <v>814</v>
      </c>
      <c r="G2" t="s">
        <v>819</v>
      </c>
      <c r="H2" s="3">
        <v>45670</v>
      </c>
      <c r="I2" t="s">
        <v>822</v>
      </c>
      <c r="J2">
        <f>IF(H2="",0,H2-D2)</f>
        <v>-2</v>
      </c>
      <c r="K2" t="str">
        <f>IF(G2="Open","Pending",IF(H2&lt;=D2,"On-Time","Late"))</f>
        <v>Pending</v>
      </c>
      <c r="L2">
        <f ca="1">TODAY()-C2</f>
        <v>461</v>
      </c>
    </row>
    <row r="3" spans="1:12" x14ac:dyDescent="0.3">
      <c r="A3" t="s">
        <v>10</v>
      </c>
      <c r="B3" t="s">
        <v>809</v>
      </c>
      <c r="C3" s="3">
        <v>45430</v>
      </c>
      <c r="D3" s="3">
        <v>45460</v>
      </c>
      <c r="E3">
        <v>3298.38</v>
      </c>
      <c r="F3" t="s">
        <v>815</v>
      </c>
      <c r="G3" t="s">
        <v>820</v>
      </c>
      <c r="H3" s="3">
        <v>45463</v>
      </c>
      <c r="I3" t="s">
        <v>822</v>
      </c>
      <c r="J3">
        <f t="shared" ref="J3:J66" si="0">IF(H3="",0,H3-D3)</f>
        <v>3</v>
      </c>
      <c r="K3" t="str">
        <f t="shared" ref="K3:K66" si="1">IF(G3="Open","Pending",IF(H3&lt;=D3,"On-Time","Late"))</f>
        <v>Late</v>
      </c>
      <c r="L3">
        <f t="shared" ref="L3:L66" ca="1" si="2">TODAY()-C3</f>
        <v>673</v>
      </c>
    </row>
    <row r="4" spans="1:12" x14ac:dyDescent="0.3">
      <c r="A4" t="s">
        <v>11</v>
      </c>
      <c r="B4" t="s">
        <v>810</v>
      </c>
      <c r="C4" s="3">
        <v>45347</v>
      </c>
      <c r="D4" s="3">
        <v>45377</v>
      </c>
      <c r="E4">
        <v>1023.43</v>
      </c>
      <c r="F4" t="s">
        <v>816</v>
      </c>
      <c r="G4" t="s">
        <v>819</v>
      </c>
      <c r="H4" s="3">
        <v>45374</v>
      </c>
      <c r="I4" t="s">
        <v>822</v>
      </c>
      <c r="J4">
        <f t="shared" si="0"/>
        <v>-3</v>
      </c>
      <c r="K4" t="str">
        <f t="shared" si="1"/>
        <v>Pending</v>
      </c>
      <c r="L4">
        <f t="shared" ca="1" si="2"/>
        <v>756</v>
      </c>
    </row>
    <row r="5" spans="1:12" x14ac:dyDescent="0.3">
      <c r="A5" t="s">
        <v>12</v>
      </c>
      <c r="B5" t="s">
        <v>811</v>
      </c>
      <c r="C5" s="3">
        <v>45299</v>
      </c>
      <c r="D5" s="3">
        <v>45329</v>
      </c>
      <c r="E5">
        <v>4433.05</v>
      </c>
      <c r="F5" t="s">
        <v>817</v>
      </c>
      <c r="G5" t="s">
        <v>820</v>
      </c>
      <c r="H5" s="3">
        <v>45333</v>
      </c>
      <c r="I5" t="s">
        <v>822</v>
      </c>
      <c r="J5">
        <f t="shared" si="0"/>
        <v>4</v>
      </c>
      <c r="K5" t="str">
        <f t="shared" si="1"/>
        <v>Late</v>
      </c>
      <c r="L5">
        <f t="shared" ca="1" si="2"/>
        <v>804</v>
      </c>
    </row>
    <row r="6" spans="1:12" x14ac:dyDescent="0.3">
      <c r="A6" t="s">
        <v>13</v>
      </c>
      <c r="B6" t="s">
        <v>811</v>
      </c>
      <c r="C6" s="3">
        <v>45435</v>
      </c>
      <c r="D6" s="3">
        <v>45465</v>
      </c>
      <c r="E6">
        <v>4345.1400000000003</v>
      </c>
      <c r="F6" t="s">
        <v>816</v>
      </c>
      <c r="G6" t="s">
        <v>820</v>
      </c>
      <c r="H6" s="3">
        <v>45465</v>
      </c>
      <c r="I6" t="s">
        <v>822</v>
      </c>
      <c r="J6">
        <f t="shared" si="0"/>
        <v>0</v>
      </c>
      <c r="K6" t="str">
        <f t="shared" si="1"/>
        <v>On-Time</v>
      </c>
      <c r="L6">
        <f t="shared" ca="1" si="2"/>
        <v>668</v>
      </c>
    </row>
    <row r="7" spans="1:12" x14ac:dyDescent="0.3">
      <c r="A7" t="s">
        <v>14</v>
      </c>
      <c r="B7" t="s">
        <v>810</v>
      </c>
      <c r="C7" s="3">
        <v>45482</v>
      </c>
      <c r="D7" s="3">
        <v>45512</v>
      </c>
      <c r="E7">
        <v>1599.18</v>
      </c>
      <c r="F7" t="s">
        <v>818</v>
      </c>
      <c r="G7" t="s">
        <v>819</v>
      </c>
      <c r="H7" s="3">
        <v>45521</v>
      </c>
      <c r="I7" t="s">
        <v>822</v>
      </c>
      <c r="J7">
        <f t="shared" si="0"/>
        <v>9</v>
      </c>
      <c r="K7" t="str">
        <f t="shared" si="1"/>
        <v>Pending</v>
      </c>
      <c r="L7">
        <f t="shared" ca="1" si="2"/>
        <v>621</v>
      </c>
    </row>
    <row r="8" spans="1:12" x14ac:dyDescent="0.3">
      <c r="A8" t="s">
        <v>15</v>
      </c>
      <c r="B8" t="s">
        <v>809</v>
      </c>
      <c r="C8" s="3">
        <v>45646</v>
      </c>
      <c r="D8" s="3">
        <v>45676</v>
      </c>
      <c r="E8">
        <v>894.13</v>
      </c>
      <c r="F8" t="s">
        <v>817</v>
      </c>
      <c r="G8" t="s">
        <v>819</v>
      </c>
      <c r="H8" s="3">
        <v>45674</v>
      </c>
      <c r="I8" t="s">
        <v>822</v>
      </c>
      <c r="J8">
        <f t="shared" si="0"/>
        <v>-2</v>
      </c>
      <c r="K8" t="str">
        <f t="shared" si="1"/>
        <v>Pending</v>
      </c>
      <c r="L8">
        <f t="shared" ca="1" si="2"/>
        <v>457</v>
      </c>
    </row>
    <row r="9" spans="1:12" x14ac:dyDescent="0.3">
      <c r="A9" t="s">
        <v>16</v>
      </c>
      <c r="B9" t="s">
        <v>810</v>
      </c>
      <c r="C9" s="3">
        <v>45560</v>
      </c>
      <c r="D9" s="3">
        <v>45590</v>
      </c>
      <c r="E9">
        <v>1303.06</v>
      </c>
      <c r="F9" t="s">
        <v>816</v>
      </c>
      <c r="G9" t="s">
        <v>821</v>
      </c>
      <c r="H9" s="3">
        <v>45590</v>
      </c>
      <c r="I9" t="s">
        <v>822</v>
      </c>
      <c r="J9">
        <f t="shared" si="0"/>
        <v>0</v>
      </c>
      <c r="K9" t="str">
        <f t="shared" si="1"/>
        <v>On-Time</v>
      </c>
      <c r="L9">
        <f t="shared" ca="1" si="2"/>
        <v>543</v>
      </c>
    </row>
    <row r="10" spans="1:12" x14ac:dyDescent="0.3">
      <c r="A10" t="s">
        <v>17</v>
      </c>
      <c r="B10" t="s">
        <v>811</v>
      </c>
      <c r="C10" s="3">
        <v>45334</v>
      </c>
      <c r="D10" s="3">
        <v>45364</v>
      </c>
      <c r="E10">
        <v>3481.8</v>
      </c>
      <c r="F10" t="s">
        <v>815</v>
      </c>
      <c r="G10" t="s">
        <v>821</v>
      </c>
      <c r="H10" s="3">
        <v>45364</v>
      </c>
      <c r="I10" t="s">
        <v>822</v>
      </c>
      <c r="J10">
        <f t="shared" si="0"/>
        <v>0</v>
      </c>
      <c r="K10" t="str">
        <f t="shared" si="1"/>
        <v>On-Time</v>
      </c>
      <c r="L10">
        <f t="shared" ca="1" si="2"/>
        <v>769</v>
      </c>
    </row>
    <row r="11" spans="1:12" x14ac:dyDescent="0.3">
      <c r="A11" t="s">
        <v>18</v>
      </c>
      <c r="B11" t="s">
        <v>811</v>
      </c>
      <c r="C11" s="3">
        <v>45470</v>
      </c>
      <c r="D11" s="3">
        <v>45500</v>
      </c>
      <c r="E11">
        <v>217.97</v>
      </c>
      <c r="F11" t="s">
        <v>817</v>
      </c>
      <c r="G11" t="s">
        <v>819</v>
      </c>
      <c r="H11" s="3">
        <v>45499</v>
      </c>
      <c r="I11" t="s">
        <v>822</v>
      </c>
      <c r="J11">
        <f t="shared" si="0"/>
        <v>-1</v>
      </c>
      <c r="K11" t="str">
        <f t="shared" si="1"/>
        <v>Pending</v>
      </c>
      <c r="L11">
        <f t="shared" ca="1" si="2"/>
        <v>633</v>
      </c>
    </row>
    <row r="12" spans="1:12" x14ac:dyDescent="0.3">
      <c r="A12" t="s">
        <v>19</v>
      </c>
      <c r="B12" t="s">
        <v>809</v>
      </c>
      <c r="C12" s="3">
        <v>45360</v>
      </c>
      <c r="D12" s="3">
        <v>45390</v>
      </c>
      <c r="E12">
        <v>1809.07</v>
      </c>
      <c r="F12" t="s">
        <v>814</v>
      </c>
      <c r="G12" t="s">
        <v>820</v>
      </c>
      <c r="H12" s="3">
        <v>45390</v>
      </c>
      <c r="I12" t="s">
        <v>822</v>
      </c>
      <c r="J12">
        <f t="shared" si="0"/>
        <v>0</v>
      </c>
      <c r="K12" t="str">
        <f t="shared" si="1"/>
        <v>On-Time</v>
      </c>
      <c r="L12">
        <f t="shared" ca="1" si="2"/>
        <v>743</v>
      </c>
    </row>
    <row r="13" spans="1:12" x14ac:dyDescent="0.3">
      <c r="A13" t="s">
        <v>20</v>
      </c>
      <c r="B13" t="s">
        <v>809</v>
      </c>
      <c r="C13" s="3">
        <v>45575</v>
      </c>
      <c r="D13" s="3">
        <v>45605</v>
      </c>
      <c r="E13">
        <v>884.1</v>
      </c>
      <c r="F13" t="s">
        <v>817</v>
      </c>
      <c r="G13" t="s">
        <v>819</v>
      </c>
      <c r="H13" s="3">
        <v>45604</v>
      </c>
      <c r="I13" t="s">
        <v>822</v>
      </c>
      <c r="J13">
        <f t="shared" si="0"/>
        <v>-1</v>
      </c>
      <c r="K13" t="str">
        <f t="shared" si="1"/>
        <v>Pending</v>
      </c>
      <c r="L13">
        <f t="shared" ca="1" si="2"/>
        <v>528</v>
      </c>
    </row>
    <row r="14" spans="1:12" x14ac:dyDescent="0.3">
      <c r="A14" t="s">
        <v>21</v>
      </c>
      <c r="B14" t="s">
        <v>811</v>
      </c>
      <c r="C14" s="3">
        <v>45065</v>
      </c>
      <c r="D14" s="3">
        <v>45095</v>
      </c>
      <c r="E14">
        <v>1491.7</v>
      </c>
      <c r="F14" t="s">
        <v>816</v>
      </c>
      <c r="G14" t="s">
        <v>819</v>
      </c>
      <c r="H14" s="3">
        <v>45103</v>
      </c>
      <c r="I14" t="s">
        <v>822</v>
      </c>
      <c r="J14">
        <f t="shared" si="0"/>
        <v>8</v>
      </c>
      <c r="K14" t="str">
        <f t="shared" si="1"/>
        <v>Pending</v>
      </c>
      <c r="L14">
        <f t="shared" ca="1" si="2"/>
        <v>1038</v>
      </c>
    </row>
    <row r="15" spans="1:12" x14ac:dyDescent="0.3">
      <c r="A15" t="s">
        <v>22</v>
      </c>
      <c r="B15" t="s">
        <v>811</v>
      </c>
      <c r="C15" s="3">
        <v>45249</v>
      </c>
      <c r="D15" s="3">
        <v>45279</v>
      </c>
      <c r="E15">
        <v>4212.17</v>
      </c>
      <c r="F15" t="s">
        <v>818</v>
      </c>
      <c r="G15" t="s">
        <v>821</v>
      </c>
      <c r="H15" s="3">
        <v>45279</v>
      </c>
      <c r="I15" t="s">
        <v>822</v>
      </c>
      <c r="J15">
        <f t="shared" si="0"/>
        <v>0</v>
      </c>
      <c r="K15" t="str">
        <f t="shared" si="1"/>
        <v>On-Time</v>
      </c>
      <c r="L15">
        <f t="shared" ca="1" si="2"/>
        <v>854</v>
      </c>
    </row>
    <row r="16" spans="1:12" x14ac:dyDescent="0.3">
      <c r="A16" t="s">
        <v>23</v>
      </c>
      <c r="B16" t="s">
        <v>809</v>
      </c>
      <c r="C16" s="3">
        <v>45417</v>
      </c>
      <c r="D16" s="3">
        <v>45447</v>
      </c>
      <c r="E16">
        <v>1632.82</v>
      </c>
      <c r="F16" t="s">
        <v>816</v>
      </c>
      <c r="G16" t="s">
        <v>819</v>
      </c>
      <c r="H16" s="3">
        <v>45445</v>
      </c>
      <c r="I16" t="s">
        <v>822</v>
      </c>
      <c r="J16">
        <f t="shared" si="0"/>
        <v>-2</v>
      </c>
      <c r="K16" t="str">
        <f t="shared" si="1"/>
        <v>Pending</v>
      </c>
      <c r="L16">
        <f t="shared" ca="1" si="2"/>
        <v>686</v>
      </c>
    </row>
    <row r="17" spans="1:12" x14ac:dyDescent="0.3">
      <c r="A17" t="s">
        <v>24</v>
      </c>
      <c r="B17" t="s">
        <v>809</v>
      </c>
      <c r="C17" s="3">
        <v>45081</v>
      </c>
      <c r="D17" s="3">
        <v>45111</v>
      </c>
      <c r="E17">
        <v>1887.67</v>
      </c>
      <c r="F17" t="s">
        <v>814</v>
      </c>
      <c r="G17" t="s">
        <v>821</v>
      </c>
      <c r="H17" s="3">
        <v>45111</v>
      </c>
      <c r="I17" t="s">
        <v>822</v>
      </c>
      <c r="J17">
        <f t="shared" si="0"/>
        <v>0</v>
      </c>
      <c r="K17" t="str">
        <f t="shared" si="1"/>
        <v>On-Time</v>
      </c>
      <c r="L17">
        <f t="shared" ca="1" si="2"/>
        <v>1022</v>
      </c>
    </row>
    <row r="18" spans="1:12" x14ac:dyDescent="0.3">
      <c r="A18" t="s">
        <v>25</v>
      </c>
      <c r="B18" t="s">
        <v>809</v>
      </c>
      <c r="C18" s="3">
        <v>45270</v>
      </c>
      <c r="D18" s="3">
        <v>45300</v>
      </c>
      <c r="E18">
        <v>1721.41</v>
      </c>
      <c r="F18" t="s">
        <v>816</v>
      </c>
      <c r="G18" t="s">
        <v>819</v>
      </c>
      <c r="H18" s="3">
        <v>45301</v>
      </c>
      <c r="I18" t="s">
        <v>822</v>
      </c>
      <c r="J18">
        <f t="shared" si="0"/>
        <v>1</v>
      </c>
      <c r="K18" t="str">
        <f t="shared" si="1"/>
        <v>Pending</v>
      </c>
      <c r="L18">
        <f t="shared" ca="1" si="2"/>
        <v>833</v>
      </c>
    </row>
    <row r="19" spans="1:12" x14ac:dyDescent="0.3">
      <c r="A19" t="s">
        <v>26</v>
      </c>
      <c r="B19" t="s">
        <v>812</v>
      </c>
      <c r="C19" s="3">
        <v>45656</v>
      </c>
      <c r="D19" s="3">
        <v>45686</v>
      </c>
      <c r="E19">
        <v>2941.63</v>
      </c>
      <c r="F19" t="s">
        <v>817</v>
      </c>
      <c r="G19" t="s">
        <v>819</v>
      </c>
      <c r="H19" s="3">
        <v>45687</v>
      </c>
      <c r="I19" t="s">
        <v>822</v>
      </c>
      <c r="J19">
        <f t="shared" si="0"/>
        <v>1</v>
      </c>
      <c r="K19" t="str">
        <f t="shared" si="1"/>
        <v>Pending</v>
      </c>
      <c r="L19">
        <f t="shared" ca="1" si="2"/>
        <v>447</v>
      </c>
    </row>
    <row r="20" spans="1:12" x14ac:dyDescent="0.3">
      <c r="A20" t="s">
        <v>27</v>
      </c>
      <c r="B20" t="s">
        <v>810</v>
      </c>
      <c r="C20" s="3">
        <v>45470</v>
      </c>
      <c r="D20" s="3">
        <v>45500</v>
      </c>
      <c r="E20">
        <v>889.44</v>
      </c>
      <c r="F20" t="s">
        <v>817</v>
      </c>
      <c r="G20" t="s">
        <v>821</v>
      </c>
      <c r="H20" s="3">
        <v>45500</v>
      </c>
      <c r="I20" t="s">
        <v>822</v>
      </c>
      <c r="J20">
        <f t="shared" si="0"/>
        <v>0</v>
      </c>
      <c r="K20" t="str">
        <f t="shared" si="1"/>
        <v>On-Time</v>
      </c>
      <c r="L20">
        <f t="shared" ca="1" si="2"/>
        <v>633</v>
      </c>
    </row>
    <row r="21" spans="1:12" x14ac:dyDescent="0.3">
      <c r="A21" t="s">
        <v>28</v>
      </c>
      <c r="B21" t="s">
        <v>810</v>
      </c>
      <c r="C21" s="3">
        <v>45744</v>
      </c>
      <c r="D21" s="3">
        <v>45774</v>
      </c>
      <c r="E21">
        <v>1539.53</v>
      </c>
      <c r="F21" t="s">
        <v>818</v>
      </c>
      <c r="G21" t="s">
        <v>820</v>
      </c>
      <c r="H21" s="3">
        <v>45771</v>
      </c>
      <c r="I21" t="s">
        <v>822</v>
      </c>
      <c r="J21">
        <f t="shared" si="0"/>
        <v>-3</v>
      </c>
      <c r="K21" t="str">
        <f t="shared" si="1"/>
        <v>On-Time</v>
      </c>
      <c r="L21">
        <f t="shared" ca="1" si="2"/>
        <v>359</v>
      </c>
    </row>
    <row r="22" spans="1:12" x14ac:dyDescent="0.3">
      <c r="A22" t="s">
        <v>29</v>
      </c>
      <c r="B22" t="s">
        <v>813</v>
      </c>
      <c r="C22" s="3">
        <v>45121</v>
      </c>
      <c r="D22" s="3">
        <v>45151</v>
      </c>
      <c r="E22">
        <v>996.27</v>
      </c>
      <c r="F22" t="s">
        <v>818</v>
      </c>
      <c r="G22" t="s">
        <v>819</v>
      </c>
      <c r="H22" s="3">
        <v>45158</v>
      </c>
      <c r="I22" t="s">
        <v>822</v>
      </c>
      <c r="J22">
        <f t="shared" si="0"/>
        <v>7</v>
      </c>
      <c r="K22" t="str">
        <f t="shared" si="1"/>
        <v>Pending</v>
      </c>
      <c r="L22">
        <f t="shared" ca="1" si="2"/>
        <v>982</v>
      </c>
    </row>
    <row r="23" spans="1:12" x14ac:dyDescent="0.3">
      <c r="A23" t="s">
        <v>30</v>
      </c>
      <c r="B23" t="s">
        <v>813</v>
      </c>
      <c r="C23" s="3">
        <v>45105</v>
      </c>
      <c r="D23" s="3">
        <v>45135</v>
      </c>
      <c r="E23">
        <v>2450.1</v>
      </c>
      <c r="F23" t="s">
        <v>815</v>
      </c>
      <c r="G23" t="s">
        <v>820</v>
      </c>
      <c r="H23" s="3">
        <v>45144</v>
      </c>
      <c r="I23" t="s">
        <v>822</v>
      </c>
      <c r="J23">
        <f t="shared" si="0"/>
        <v>9</v>
      </c>
      <c r="K23" t="str">
        <f t="shared" si="1"/>
        <v>Late</v>
      </c>
      <c r="L23">
        <f t="shared" ca="1" si="2"/>
        <v>998</v>
      </c>
    </row>
    <row r="24" spans="1:12" x14ac:dyDescent="0.3">
      <c r="A24" t="s">
        <v>31</v>
      </c>
      <c r="B24" t="s">
        <v>812</v>
      </c>
      <c r="C24" s="3">
        <v>45653</v>
      </c>
      <c r="D24" s="3">
        <v>45683</v>
      </c>
      <c r="E24">
        <v>797.8</v>
      </c>
      <c r="F24" t="s">
        <v>815</v>
      </c>
      <c r="G24" t="s">
        <v>819</v>
      </c>
      <c r="H24" s="3">
        <v>45684</v>
      </c>
      <c r="I24" t="s">
        <v>822</v>
      </c>
      <c r="J24">
        <f t="shared" si="0"/>
        <v>1</v>
      </c>
      <c r="K24" t="str">
        <f t="shared" si="1"/>
        <v>Pending</v>
      </c>
      <c r="L24">
        <f t="shared" ca="1" si="2"/>
        <v>450</v>
      </c>
    </row>
    <row r="25" spans="1:12" x14ac:dyDescent="0.3">
      <c r="A25" t="s">
        <v>32</v>
      </c>
      <c r="B25" t="s">
        <v>809</v>
      </c>
      <c r="C25" s="3">
        <v>45062</v>
      </c>
      <c r="D25" s="3">
        <v>45092</v>
      </c>
      <c r="E25">
        <v>4237.6499999999996</v>
      </c>
      <c r="F25" t="s">
        <v>816</v>
      </c>
      <c r="G25" t="s">
        <v>820</v>
      </c>
      <c r="H25" s="3">
        <v>45094</v>
      </c>
      <c r="I25" t="s">
        <v>822</v>
      </c>
      <c r="J25">
        <f t="shared" si="0"/>
        <v>2</v>
      </c>
      <c r="K25" t="str">
        <f t="shared" si="1"/>
        <v>Late</v>
      </c>
      <c r="L25">
        <f t="shared" ca="1" si="2"/>
        <v>1041</v>
      </c>
    </row>
    <row r="26" spans="1:12" x14ac:dyDescent="0.3">
      <c r="A26" t="s">
        <v>33</v>
      </c>
      <c r="B26" t="s">
        <v>812</v>
      </c>
      <c r="C26" s="3">
        <v>45199</v>
      </c>
      <c r="D26" s="3">
        <v>45229</v>
      </c>
      <c r="E26">
        <v>665.06</v>
      </c>
      <c r="F26" t="s">
        <v>818</v>
      </c>
      <c r="G26" t="s">
        <v>819</v>
      </c>
      <c r="H26" s="3">
        <v>45229</v>
      </c>
      <c r="I26" t="s">
        <v>822</v>
      </c>
      <c r="J26">
        <f t="shared" si="0"/>
        <v>0</v>
      </c>
      <c r="K26" t="str">
        <f t="shared" si="1"/>
        <v>Pending</v>
      </c>
      <c r="L26">
        <f t="shared" ca="1" si="2"/>
        <v>904</v>
      </c>
    </row>
    <row r="27" spans="1:12" x14ac:dyDescent="0.3">
      <c r="A27" t="s">
        <v>34</v>
      </c>
      <c r="B27" t="s">
        <v>812</v>
      </c>
      <c r="C27" s="3">
        <v>45640</v>
      </c>
      <c r="D27" s="3">
        <v>45670</v>
      </c>
      <c r="E27">
        <v>3849.16</v>
      </c>
      <c r="F27" t="s">
        <v>816</v>
      </c>
      <c r="G27" t="s">
        <v>820</v>
      </c>
      <c r="H27" s="3">
        <v>45677</v>
      </c>
      <c r="I27" t="s">
        <v>822</v>
      </c>
      <c r="J27">
        <f t="shared" si="0"/>
        <v>7</v>
      </c>
      <c r="K27" t="str">
        <f t="shared" si="1"/>
        <v>Late</v>
      </c>
      <c r="L27">
        <f t="shared" ca="1" si="2"/>
        <v>463</v>
      </c>
    </row>
    <row r="28" spans="1:12" x14ac:dyDescent="0.3">
      <c r="A28" t="s">
        <v>35</v>
      </c>
      <c r="B28" t="s">
        <v>809</v>
      </c>
      <c r="C28" s="3">
        <v>45124</v>
      </c>
      <c r="D28" s="3">
        <v>45154</v>
      </c>
      <c r="E28">
        <v>4411.88</v>
      </c>
      <c r="F28" t="s">
        <v>815</v>
      </c>
      <c r="G28" t="s">
        <v>821</v>
      </c>
      <c r="H28" s="3">
        <v>45154</v>
      </c>
      <c r="I28" t="s">
        <v>822</v>
      </c>
      <c r="J28">
        <f t="shared" si="0"/>
        <v>0</v>
      </c>
      <c r="K28" t="str">
        <f t="shared" si="1"/>
        <v>On-Time</v>
      </c>
      <c r="L28">
        <f t="shared" ca="1" si="2"/>
        <v>979</v>
      </c>
    </row>
    <row r="29" spans="1:12" x14ac:dyDescent="0.3">
      <c r="A29" t="s">
        <v>36</v>
      </c>
      <c r="B29" t="s">
        <v>810</v>
      </c>
      <c r="C29" s="3">
        <v>45376</v>
      </c>
      <c r="D29" s="3">
        <v>45406</v>
      </c>
      <c r="E29">
        <v>296.64999999999998</v>
      </c>
      <c r="F29" t="s">
        <v>817</v>
      </c>
      <c r="G29" t="s">
        <v>821</v>
      </c>
      <c r="H29" s="3">
        <v>45406</v>
      </c>
      <c r="I29" t="s">
        <v>822</v>
      </c>
      <c r="J29">
        <f t="shared" si="0"/>
        <v>0</v>
      </c>
      <c r="K29" t="str">
        <f t="shared" si="1"/>
        <v>On-Time</v>
      </c>
      <c r="L29">
        <f t="shared" ca="1" si="2"/>
        <v>727</v>
      </c>
    </row>
    <row r="30" spans="1:12" x14ac:dyDescent="0.3">
      <c r="A30" t="s">
        <v>37</v>
      </c>
      <c r="B30" t="s">
        <v>813</v>
      </c>
      <c r="C30" s="3">
        <v>45593</v>
      </c>
      <c r="D30" s="3">
        <v>45623</v>
      </c>
      <c r="E30">
        <v>3099.8</v>
      </c>
      <c r="F30" t="s">
        <v>816</v>
      </c>
      <c r="G30" t="s">
        <v>819</v>
      </c>
      <c r="H30" s="3">
        <v>45633</v>
      </c>
      <c r="I30" t="s">
        <v>822</v>
      </c>
      <c r="J30">
        <f t="shared" si="0"/>
        <v>10</v>
      </c>
      <c r="K30" t="str">
        <f t="shared" si="1"/>
        <v>Pending</v>
      </c>
      <c r="L30">
        <f t="shared" ca="1" si="2"/>
        <v>510</v>
      </c>
    </row>
    <row r="31" spans="1:12" x14ac:dyDescent="0.3">
      <c r="A31" t="s">
        <v>38</v>
      </c>
      <c r="B31" t="s">
        <v>812</v>
      </c>
      <c r="C31" s="3">
        <v>44991</v>
      </c>
      <c r="D31" s="3">
        <v>45021</v>
      </c>
      <c r="E31">
        <v>4007.29</v>
      </c>
      <c r="F31" t="s">
        <v>815</v>
      </c>
      <c r="G31" t="s">
        <v>819</v>
      </c>
      <c r="H31" s="3">
        <v>45029</v>
      </c>
      <c r="I31" t="s">
        <v>822</v>
      </c>
      <c r="J31">
        <f t="shared" si="0"/>
        <v>8</v>
      </c>
      <c r="K31" t="str">
        <f t="shared" si="1"/>
        <v>Pending</v>
      </c>
      <c r="L31">
        <f t="shared" ca="1" si="2"/>
        <v>1112</v>
      </c>
    </row>
    <row r="32" spans="1:12" x14ac:dyDescent="0.3">
      <c r="A32" t="s">
        <v>39</v>
      </c>
      <c r="B32" t="s">
        <v>810</v>
      </c>
      <c r="C32" s="3">
        <v>45335</v>
      </c>
      <c r="D32" s="3">
        <v>45365</v>
      </c>
      <c r="E32">
        <v>2884.32</v>
      </c>
      <c r="F32" t="s">
        <v>815</v>
      </c>
      <c r="G32" t="s">
        <v>820</v>
      </c>
      <c r="H32" s="3">
        <v>45365</v>
      </c>
      <c r="I32" t="s">
        <v>822</v>
      </c>
      <c r="J32">
        <f t="shared" si="0"/>
        <v>0</v>
      </c>
      <c r="K32" t="str">
        <f t="shared" si="1"/>
        <v>On-Time</v>
      </c>
      <c r="L32">
        <f t="shared" ca="1" si="2"/>
        <v>768</v>
      </c>
    </row>
    <row r="33" spans="1:12" x14ac:dyDescent="0.3">
      <c r="A33" t="s">
        <v>40</v>
      </c>
      <c r="B33" t="s">
        <v>810</v>
      </c>
      <c r="C33" s="3">
        <v>45000</v>
      </c>
      <c r="D33" s="3">
        <v>45030</v>
      </c>
      <c r="E33">
        <v>4830.24</v>
      </c>
      <c r="F33" t="s">
        <v>814</v>
      </c>
      <c r="G33" t="s">
        <v>821</v>
      </c>
      <c r="H33" s="3">
        <v>45030</v>
      </c>
      <c r="I33" t="s">
        <v>822</v>
      </c>
      <c r="J33">
        <f t="shared" si="0"/>
        <v>0</v>
      </c>
      <c r="K33" t="str">
        <f t="shared" si="1"/>
        <v>On-Time</v>
      </c>
      <c r="L33">
        <f t="shared" ca="1" si="2"/>
        <v>1103</v>
      </c>
    </row>
    <row r="34" spans="1:12" x14ac:dyDescent="0.3">
      <c r="A34" t="s">
        <v>41</v>
      </c>
      <c r="B34" t="s">
        <v>812</v>
      </c>
      <c r="C34" s="3">
        <v>45210</v>
      </c>
      <c r="D34" s="3">
        <v>45240</v>
      </c>
      <c r="E34">
        <v>4841.22</v>
      </c>
      <c r="F34" t="s">
        <v>817</v>
      </c>
      <c r="G34" t="s">
        <v>821</v>
      </c>
      <c r="H34" s="3">
        <v>45240</v>
      </c>
      <c r="I34" t="s">
        <v>822</v>
      </c>
      <c r="J34">
        <f t="shared" si="0"/>
        <v>0</v>
      </c>
      <c r="K34" t="str">
        <f t="shared" si="1"/>
        <v>On-Time</v>
      </c>
      <c r="L34">
        <f t="shared" ca="1" si="2"/>
        <v>893</v>
      </c>
    </row>
    <row r="35" spans="1:12" x14ac:dyDescent="0.3">
      <c r="A35" t="s">
        <v>42</v>
      </c>
      <c r="B35" t="s">
        <v>811</v>
      </c>
      <c r="C35" s="3">
        <v>45598</v>
      </c>
      <c r="D35" s="3">
        <v>45628</v>
      </c>
      <c r="E35">
        <v>3601.17</v>
      </c>
      <c r="F35" t="s">
        <v>818</v>
      </c>
      <c r="G35" t="s">
        <v>819</v>
      </c>
      <c r="H35" s="3">
        <v>45633</v>
      </c>
      <c r="I35" t="s">
        <v>822</v>
      </c>
      <c r="J35">
        <f t="shared" si="0"/>
        <v>5</v>
      </c>
      <c r="K35" t="str">
        <f t="shared" si="1"/>
        <v>Pending</v>
      </c>
      <c r="L35">
        <f t="shared" ca="1" si="2"/>
        <v>505</v>
      </c>
    </row>
    <row r="36" spans="1:12" x14ac:dyDescent="0.3">
      <c r="A36" t="s">
        <v>43</v>
      </c>
      <c r="B36" t="s">
        <v>810</v>
      </c>
      <c r="C36" s="3">
        <v>45668</v>
      </c>
      <c r="D36" s="3">
        <v>45698</v>
      </c>
      <c r="E36">
        <v>3913.65</v>
      </c>
      <c r="F36" t="s">
        <v>816</v>
      </c>
      <c r="G36" t="s">
        <v>821</v>
      </c>
      <c r="H36" s="3">
        <v>45698</v>
      </c>
      <c r="I36" t="s">
        <v>822</v>
      </c>
      <c r="J36">
        <f t="shared" si="0"/>
        <v>0</v>
      </c>
      <c r="K36" t="str">
        <f t="shared" si="1"/>
        <v>On-Time</v>
      </c>
      <c r="L36">
        <f t="shared" ca="1" si="2"/>
        <v>435</v>
      </c>
    </row>
    <row r="37" spans="1:12" x14ac:dyDescent="0.3">
      <c r="A37" t="s">
        <v>44</v>
      </c>
      <c r="B37" t="s">
        <v>811</v>
      </c>
      <c r="C37" s="3">
        <v>45025</v>
      </c>
      <c r="D37" s="3">
        <v>45055</v>
      </c>
      <c r="E37">
        <v>1117.52</v>
      </c>
      <c r="F37" t="s">
        <v>815</v>
      </c>
      <c r="G37" t="s">
        <v>819</v>
      </c>
      <c r="H37" s="3">
        <v>45059</v>
      </c>
      <c r="I37" t="s">
        <v>822</v>
      </c>
      <c r="J37">
        <f t="shared" si="0"/>
        <v>4</v>
      </c>
      <c r="K37" t="str">
        <f t="shared" si="1"/>
        <v>Pending</v>
      </c>
      <c r="L37">
        <f t="shared" ca="1" si="2"/>
        <v>1078</v>
      </c>
    </row>
    <row r="38" spans="1:12" x14ac:dyDescent="0.3">
      <c r="A38" t="s">
        <v>45</v>
      </c>
      <c r="B38" t="s">
        <v>809</v>
      </c>
      <c r="C38" s="3">
        <v>45128</v>
      </c>
      <c r="D38" s="3">
        <v>45158</v>
      </c>
      <c r="E38">
        <v>4178.2</v>
      </c>
      <c r="F38" t="s">
        <v>815</v>
      </c>
      <c r="G38" t="s">
        <v>820</v>
      </c>
      <c r="H38" s="3">
        <v>45163</v>
      </c>
      <c r="I38" t="s">
        <v>822</v>
      </c>
      <c r="J38">
        <f t="shared" si="0"/>
        <v>5</v>
      </c>
      <c r="K38" t="str">
        <f t="shared" si="1"/>
        <v>Late</v>
      </c>
      <c r="L38">
        <f t="shared" ca="1" si="2"/>
        <v>975</v>
      </c>
    </row>
    <row r="39" spans="1:12" x14ac:dyDescent="0.3">
      <c r="A39" t="s">
        <v>46</v>
      </c>
      <c r="B39" t="s">
        <v>812</v>
      </c>
      <c r="C39" s="3">
        <v>45504</v>
      </c>
      <c r="D39" s="3">
        <v>45534</v>
      </c>
      <c r="E39">
        <v>504.02</v>
      </c>
      <c r="F39" t="s">
        <v>817</v>
      </c>
      <c r="G39" t="s">
        <v>820</v>
      </c>
      <c r="H39" s="3">
        <v>45540</v>
      </c>
      <c r="I39" t="s">
        <v>822</v>
      </c>
      <c r="J39">
        <f t="shared" si="0"/>
        <v>6</v>
      </c>
      <c r="K39" t="str">
        <f t="shared" si="1"/>
        <v>Late</v>
      </c>
      <c r="L39">
        <f t="shared" ca="1" si="2"/>
        <v>599</v>
      </c>
    </row>
    <row r="40" spans="1:12" x14ac:dyDescent="0.3">
      <c r="A40" t="s">
        <v>47</v>
      </c>
      <c r="B40" t="s">
        <v>809</v>
      </c>
      <c r="C40" s="3">
        <v>44934</v>
      </c>
      <c r="D40" s="3">
        <v>44964</v>
      </c>
      <c r="E40">
        <v>3156.05</v>
      </c>
      <c r="F40" t="s">
        <v>816</v>
      </c>
      <c r="G40" t="s">
        <v>819</v>
      </c>
      <c r="H40" s="3">
        <v>44963</v>
      </c>
      <c r="I40" t="s">
        <v>822</v>
      </c>
      <c r="J40">
        <f t="shared" si="0"/>
        <v>-1</v>
      </c>
      <c r="K40" t="str">
        <f t="shared" si="1"/>
        <v>Pending</v>
      </c>
      <c r="L40">
        <f t="shared" ca="1" si="2"/>
        <v>1169</v>
      </c>
    </row>
    <row r="41" spans="1:12" x14ac:dyDescent="0.3">
      <c r="A41" t="s">
        <v>48</v>
      </c>
      <c r="B41" t="s">
        <v>812</v>
      </c>
      <c r="C41" s="3">
        <v>45108</v>
      </c>
      <c r="D41" s="3">
        <v>45138</v>
      </c>
      <c r="E41">
        <v>3284.77</v>
      </c>
      <c r="F41" t="s">
        <v>814</v>
      </c>
      <c r="G41" t="s">
        <v>820</v>
      </c>
      <c r="H41" s="3">
        <v>45148</v>
      </c>
      <c r="I41" t="s">
        <v>822</v>
      </c>
      <c r="J41">
        <f t="shared" si="0"/>
        <v>10</v>
      </c>
      <c r="K41" t="str">
        <f t="shared" si="1"/>
        <v>Late</v>
      </c>
      <c r="L41">
        <f t="shared" ca="1" si="2"/>
        <v>995</v>
      </c>
    </row>
    <row r="42" spans="1:12" x14ac:dyDescent="0.3">
      <c r="A42" t="s">
        <v>49</v>
      </c>
      <c r="B42" t="s">
        <v>812</v>
      </c>
      <c r="C42" s="3">
        <v>45801</v>
      </c>
      <c r="D42" s="3">
        <v>45831</v>
      </c>
      <c r="E42">
        <v>4519.76</v>
      </c>
      <c r="F42" t="s">
        <v>817</v>
      </c>
      <c r="G42" t="s">
        <v>819</v>
      </c>
      <c r="H42" s="3">
        <v>45828</v>
      </c>
      <c r="I42" t="s">
        <v>822</v>
      </c>
      <c r="J42">
        <f t="shared" si="0"/>
        <v>-3</v>
      </c>
      <c r="K42" t="str">
        <f t="shared" si="1"/>
        <v>Pending</v>
      </c>
      <c r="L42">
        <f t="shared" ca="1" si="2"/>
        <v>302</v>
      </c>
    </row>
    <row r="43" spans="1:12" x14ac:dyDescent="0.3">
      <c r="A43" t="s">
        <v>50</v>
      </c>
      <c r="B43" t="s">
        <v>809</v>
      </c>
      <c r="C43" s="3">
        <v>45313</v>
      </c>
      <c r="D43" s="3">
        <v>45343</v>
      </c>
      <c r="E43">
        <v>4094.28</v>
      </c>
      <c r="F43" t="s">
        <v>814</v>
      </c>
      <c r="G43" t="s">
        <v>820</v>
      </c>
      <c r="H43" s="3">
        <v>45346</v>
      </c>
      <c r="I43" t="s">
        <v>822</v>
      </c>
      <c r="J43">
        <f t="shared" si="0"/>
        <v>3</v>
      </c>
      <c r="K43" t="str">
        <f t="shared" si="1"/>
        <v>Late</v>
      </c>
      <c r="L43">
        <f t="shared" ca="1" si="2"/>
        <v>790</v>
      </c>
    </row>
    <row r="44" spans="1:12" x14ac:dyDescent="0.3">
      <c r="A44" t="s">
        <v>51</v>
      </c>
      <c r="B44" t="s">
        <v>809</v>
      </c>
      <c r="C44" s="3">
        <v>44967</v>
      </c>
      <c r="D44" s="3">
        <v>44997</v>
      </c>
      <c r="E44">
        <v>3097.79</v>
      </c>
      <c r="F44" t="s">
        <v>814</v>
      </c>
      <c r="G44" t="s">
        <v>821</v>
      </c>
      <c r="H44" s="3">
        <v>44997</v>
      </c>
      <c r="I44" t="s">
        <v>822</v>
      </c>
      <c r="J44">
        <f t="shared" si="0"/>
        <v>0</v>
      </c>
      <c r="K44" t="str">
        <f t="shared" si="1"/>
        <v>On-Time</v>
      </c>
      <c r="L44">
        <f t="shared" ca="1" si="2"/>
        <v>1136</v>
      </c>
    </row>
    <row r="45" spans="1:12" x14ac:dyDescent="0.3">
      <c r="A45" t="s">
        <v>52</v>
      </c>
      <c r="B45" t="s">
        <v>810</v>
      </c>
      <c r="C45" s="3">
        <v>45809</v>
      </c>
      <c r="D45" s="3">
        <v>45839</v>
      </c>
      <c r="E45">
        <v>1415.24</v>
      </c>
      <c r="F45" t="s">
        <v>818</v>
      </c>
      <c r="G45" t="s">
        <v>820</v>
      </c>
      <c r="H45" s="3">
        <v>45839</v>
      </c>
      <c r="I45" t="s">
        <v>822</v>
      </c>
      <c r="J45">
        <f t="shared" si="0"/>
        <v>0</v>
      </c>
      <c r="K45" t="str">
        <f t="shared" si="1"/>
        <v>On-Time</v>
      </c>
      <c r="L45">
        <f t="shared" ca="1" si="2"/>
        <v>294</v>
      </c>
    </row>
    <row r="46" spans="1:12" x14ac:dyDescent="0.3">
      <c r="A46" t="s">
        <v>53</v>
      </c>
      <c r="B46" t="s">
        <v>809</v>
      </c>
      <c r="C46" s="3">
        <v>45102</v>
      </c>
      <c r="D46" s="3">
        <v>45132</v>
      </c>
      <c r="E46">
        <v>3224.33</v>
      </c>
      <c r="F46" t="s">
        <v>816</v>
      </c>
      <c r="G46" t="s">
        <v>820</v>
      </c>
      <c r="H46" s="3">
        <v>45130</v>
      </c>
      <c r="I46" t="s">
        <v>822</v>
      </c>
      <c r="J46">
        <f t="shared" si="0"/>
        <v>-2</v>
      </c>
      <c r="K46" t="str">
        <f t="shared" si="1"/>
        <v>On-Time</v>
      </c>
      <c r="L46">
        <f t="shared" ca="1" si="2"/>
        <v>1001</v>
      </c>
    </row>
    <row r="47" spans="1:12" x14ac:dyDescent="0.3">
      <c r="A47" t="s">
        <v>54</v>
      </c>
      <c r="B47" t="s">
        <v>813</v>
      </c>
      <c r="C47" s="3">
        <v>45103</v>
      </c>
      <c r="D47" s="3">
        <v>45133</v>
      </c>
      <c r="E47">
        <v>1164.49</v>
      </c>
      <c r="F47" t="s">
        <v>817</v>
      </c>
      <c r="G47" t="s">
        <v>820</v>
      </c>
      <c r="H47" s="3">
        <v>45138</v>
      </c>
      <c r="I47" t="s">
        <v>822</v>
      </c>
      <c r="J47">
        <f t="shared" si="0"/>
        <v>5</v>
      </c>
      <c r="K47" t="str">
        <f t="shared" si="1"/>
        <v>Late</v>
      </c>
      <c r="L47">
        <f t="shared" ca="1" si="2"/>
        <v>1000</v>
      </c>
    </row>
    <row r="48" spans="1:12" x14ac:dyDescent="0.3">
      <c r="A48" t="s">
        <v>55</v>
      </c>
      <c r="B48" t="s">
        <v>813</v>
      </c>
      <c r="C48" s="3">
        <v>45668</v>
      </c>
      <c r="D48" s="3">
        <v>45698</v>
      </c>
      <c r="E48">
        <v>2557.61</v>
      </c>
      <c r="F48" t="s">
        <v>817</v>
      </c>
      <c r="G48" t="s">
        <v>821</v>
      </c>
      <c r="H48" s="3">
        <v>45698</v>
      </c>
      <c r="I48" t="s">
        <v>822</v>
      </c>
      <c r="J48">
        <f t="shared" si="0"/>
        <v>0</v>
      </c>
      <c r="K48" t="str">
        <f t="shared" si="1"/>
        <v>On-Time</v>
      </c>
      <c r="L48">
        <f t="shared" ca="1" si="2"/>
        <v>435</v>
      </c>
    </row>
    <row r="49" spans="1:12" x14ac:dyDescent="0.3">
      <c r="A49" t="s">
        <v>56</v>
      </c>
      <c r="B49" t="s">
        <v>809</v>
      </c>
      <c r="C49" s="3">
        <v>45682</v>
      </c>
      <c r="D49" s="3">
        <v>45712</v>
      </c>
      <c r="E49">
        <v>393.4</v>
      </c>
      <c r="F49" t="s">
        <v>816</v>
      </c>
      <c r="G49" t="s">
        <v>819</v>
      </c>
      <c r="H49" s="3">
        <v>45719</v>
      </c>
      <c r="I49" t="s">
        <v>822</v>
      </c>
      <c r="J49">
        <f t="shared" si="0"/>
        <v>7</v>
      </c>
      <c r="K49" t="str">
        <f t="shared" si="1"/>
        <v>Pending</v>
      </c>
      <c r="L49">
        <f t="shared" ca="1" si="2"/>
        <v>421</v>
      </c>
    </row>
    <row r="50" spans="1:12" x14ac:dyDescent="0.3">
      <c r="A50" t="s">
        <v>57</v>
      </c>
      <c r="B50" t="s">
        <v>812</v>
      </c>
      <c r="C50" s="3">
        <v>45733</v>
      </c>
      <c r="D50" s="3">
        <v>45763</v>
      </c>
      <c r="E50">
        <v>2307.0500000000002</v>
      </c>
      <c r="F50" t="s">
        <v>815</v>
      </c>
      <c r="G50" t="s">
        <v>821</v>
      </c>
      <c r="H50" s="3">
        <v>45763</v>
      </c>
      <c r="I50" t="s">
        <v>822</v>
      </c>
      <c r="J50">
        <f t="shared" si="0"/>
        <v>0</v>
      </c>
      <c r="K50" t="str">
        <f t="shared" si="1"/>
        <v>On-Time</v>
      </c>
      <c r="L50">
        <f t="shared" ca="1" si="2"/>
        <v>370</v>
      </c>
    </row>
    <row r="51" spans="1:12" x14ac:dyDescent="0.3">
      <c r="A51" t="s">
        <v>58</v>
      </c>
      <c r="B51" t="s">
        <v>809</v>
      </c>
      <c r="C51" s="3">
        <v>45197</v>
      </c>
      <c r="D51" s="3">
        <v>45227</v>
      </c>
      <c r="E51">
        <v>728.35</v>
      </c>
      <c r="F51" t="s">
        <v>816</v>
      </c>
      <c r="G51" t="s">
        <v>821</v>
      </c>
      <c r="H51" s="3">
        <v>45227</v>
      </c>
      <c r="I51" t="s">
        <v>822</v>
      </c>
      <c r="J51">
        <f t="shared" si="0"/>
        <v>0</v>
      </c>
      <c r="K51" t="str">
        <f t="shared" si="1"/>
        <v>On-Time</v>
      </c>
      <c r="L51">
        <f t="shared" ca="1" si="2"/>
        <v>906</v>
      </c>
    </row>
    <row r="52" spans="1:12" x14ac:dyDescent="0.3">
      <c r="A52" t="s">
        <v>59</v>
      </c>
      <c r="B52" t="s">
        <v>810</v>
      </c>
      <c r="C52" s="3">
        <v>45801</v>
      </c>
      <c r="D52" s="3">
        <v>45831</v>
      </c>
      <c r="E52">
        <v>3580.44</v>
      </c>
      <c r="F52" t="s">
        <v>816</v>
      </c>
      <c r="G52" t="s">
        <v>819</v>
      </c>
      <c r="H52" s="3">
        <v>45840</v>
      </c>
      <c r="I52" t="s">
        <v>822</v>
      </c>
      <c r="J52">
        <f t="shared" si="0"/>
        <v>9</v>
      </c>
      <c r="K52" t="str">
        <f t="shared" si="1"/>
        <v>Pending</v>
      </c>
      <c r="L52">
        <f t="shared" ca="1" si="2"/>
        <v>302</v>
      </c>
    </row>
    <row r="53" spans="1:12" x14ac:dyDescent="0.3">
      <c r="A53" t="s">
        <v>60</v>
      </c>
      <c r="B53" t="s">
        <v>809</v>
      </c>
      <c r="C53" s="3">
        <v>45382</v>
      </c>
      <c r="D53" s="3">
        <v>45412</v>
      </c>
      <c r="E53">
        <v>1527.67</v>
      </c>
      <c r="F53" t="s">
        <v>818</v>
      </c>
      <c r="G53" t="s">
        <v>821</v>
      </c>
      <c r="H53" s="3">
        <v>45412</v>
      </c>
      <c r="I53" t="s">
        <v>822</v>
      </c>
      <c r="J53">
        <f t="shared" si="0"/>
        <v>0</v>
      </c>
      <c r="K53" t="str">
        <f t="shared" si="1"/>
        <v>On-Time</v>
      </c>
      <c r="L53">
        <f t="shared" ca="1" si="2"/>
        <v>721</v>
      </c>
    </row>
    <row r="54" spans="1:12" x14ac:dyDescent="0.3">
      <c r="A54" t="s">
        <v>61</v>
      </c>
      <c r="B54" t="s">
        <v>809</v>
      </c>
      <c r="C54" s="3">
        <v>45039</v>
      </c>
      <c r="D54" s="3">
        <v>45069</v>
      </c>
      <c r="E54">
        <v>3014.35</v>
      </c>
      <c r="F54" t="s">
        <v>815</v>
      </c>
      <c r="G54" t="s">
        <v>821</v>
      </c>
      <c r="H54" s="3">
        <v>45069</v>
      </c>
      <c r="I54" t="s">
        <v>822</v>
      </c>
      <c r="J54">
        <f t="shared" si="0"/>
        <v>0</v>
      </c>
      <c r="K54" t="str">
        <f t="shared" si="1"/>
        <v>On-Time</v>
      </c>
      <c r="L54">
        <f t="shared" ca="1" si="2"/>
        <v>1064</v>
      </c>
    </row>
    <row r="55" spans="1:12" x14ac:dyDescent="0.3">
      <c r="A55" t="s">
        <v>62</v>
      </c>
      <c r="B55" t="s">
        <v>811</v>
      </c>
      <c r="C55" s="3">
        <v>45162</v>
      </c>
      <c r="D55" s="3">
        <v>45192</v>
      </c>
      <c r="E55">
        <v>3099.88</v>
      </c>
      <c r="F55" t="s">
        <v>815</v>
      </c>
      <c r="G55" t="s">
        <v>820</v>
      </c>
      <c r="H55" s="3">
        <v>45197</v>
      </c>
      <c r="I55" t="s">
        <v>822</v>
      </c>
      <c r="J55">
        <f t="shared" si="0"/>
        <v>5</v>
      </c>
      <c r="K55" t="str">
        <f t="shared" si="1"/>
        <v>Late</v>
      </c>
      <c r="L55">
        <f t="shared" ca="1" si="2"/>
        <v>941</v>
      </c>
    </row>
    <row r="56" spans="1:12" x14ac:dyDescent="0.3">
      <c r="A56" t="s">
        <v>63</v>
      </c>
      <c r="B56" t="s">
        <v>809</v>
      </c>
      <c r="C56" s="3">
        <v>45055</v>
      </c>
      <c r="D56" s="3">
        <v>45085</v>
      </c>
      <c r="E56">
        <v>1484.54</v>
      </c>
      <c r="F56" t="s">
        <v>818</v>
      </c>
      <c r="G56" t="s">
        <v>820</v>
      </c>
      <c r="H56" s="3">
        <v>45091</v>
      </c>
      <c r="I56" t="s">
        <v>822</v>
      </c>
      <c r="J56">
        <f t="shared" si="0"/>
        <v>6</v>
      </c>
      <c r="K56" t="str">
        <f t="shared" si="1"/>
        <v>Late</v>
      </c>
      <c r="L56">
        <f t="shared" ca="1" si="2"/>
        <v>1048</v>
      </c>
    </row>
    <row r="57" spans="1:12" x14ac:dyDescent="0.3">
      <c r="A57" t="s">
        <v>64</v>
      </c>
      <c r="B57" t="s">
        <v>813</v>
      </c>
      <c r="C57" s="3">
        <v>45279</v>
      </c>
      <c r="D57" s="3">
        <v>45309</v>
      </c>
      <c r="E57">
        <v>2922.4</v>
      </c>
      <c r="F57" t="s">
        <v>818</v>
      </c>
      <c r="G57" t="s">
        <v>820</v>
      </c>
      <c r="H57" s="3">
        <v>45314</v>
      </c>
      <c r="I57" t="s">
        <v>822</v>
      </c>
      <c r="J57">
        <f t="shared" si="0"/>
        <v>5</v>
      </c>
      <c r="K57" t="str">
        <f t="shared" si="1"/>
        <v>Late</v>
      </c>
      <c r="L57">
        <f t="shared" ca="1" si="2"/>
        <v>824</v>
      </c>
    </row>
    <row r="58" spans="1:12" x14ac:dyDescent="0.3">
      <c r="A58" t="s">
        <v>65</v>
      </c>
      <c r="B58" t="s">
        <v>812</v>
      </c>
      <c r="C58" s="3">
        <v>45238</v>
      </c>
      <c r="D58" s="3">
        <v>45268</v>
      </c>
      <c r="E58">
        <v>422.98</v>
      </c>
      <c r="F58" t="s">
        <v>817</v>
      </c>
      <c r="G58" t="s">
        <v>821</v>
      </c>
      <c r="H58" s="3">
        <v>45268</v>
      </c>
      <c r="I58" t="s">
        <v>822</v>
      </c>
      <c r="J58">
        <f t="shared" si="0"/>
        <v>0</v>
      </c>
      <c r="K58" t="str">
        <f t="shared" si="1"/>
        <v>On-Time</v>
      </c>
      <c r="L58">
        <f t="shared" ca="1" si="2"/>
        <v>865</v>
      </c>
    </row>
    <row r="59" spans="1:12" x14ac:dyDescent="0.3">
      <c r="A59" t="s">
        <v>66</v>
      </c>
      <c r="B59" t="s">
        <v>809</v>
      </c>
      <c r="C59" s="3">
        <v>44929</v>
      </c>
      <c r="D59" s="3">
        <v>44959</v>
      </c>
      <c r="E59">
        <v>2784.23</v>
      </c>
      <c r="F59" t="s">
        <v>817</v>
      </c>
      <c r="G59" t="s">
        <v>820</v>
      </c>
      <c r="H59" s="3">
        <v>44958</v>
      </c>
      <c r="I59" t="s">
        <v>822</v>
      </c>
      <c r="J59">
        <f t="shared" si="0"/>
        <v>-1</v>
      </c>
      <c r="K59" t="str">
        <f t="shared" si="1"/>
        <v>On-Time</v>
      </c>
      <c r="L59">
        <f t="shared" ca="1" si="2"/>
        <v>1174</v>
      </c>
    </row>
    <row r="60" spans="1:12" x14ac:dyDescent="0.3">
      <c r="A60" t="s">
        <v>67</v>
      </c>
      <c r="B60" t="s">
        <v>813</v>
      </c>
      <c r="C60" s="3">
        <v>45462</v>
      </c>
      <c r="D60" s="3">
        <v>45492</v>
      </c>
      <c r="E60">
        <v>2946.12</v>
      </c>
      <c r="F60" t="s">
        <v>815</v>
      </c>
      <c r="G60" t="s">
        <v>819</v>
      </c>
      <c r="H60" s="3">
        <v>45495</v>
      </c>
      <c r="I60" t="s">
        <v>822</v>
      </c>
      <c r="J60">
        <f t="shared" si="0"/>
        <v>3</v>
      </c>
      <c r="K60" t="str">
        <f t="shared" si="1"/>
        <v>Pending</v>
      </c>
      <c r="L60">
        <f t="shared" ca="1" si="2"/>
        <v>641</v>
      </c>
    </row>
    <row r="61" spans="1:12" x14ac:dyDescent="0.3">
      <c r="A61" t="s">
        <v>68</v>
      </c>
      <c r="B61" t="s">
        <v>809</v>
      </c>
      <c r="C61" s="3">
        <v>45725</v>
      </c>
      <c r="D61" s="3">
        <v>45755</v>
      </c>
      <c r="E61">
        <v>578.58000000000004</v>
      </c>
      <c r="F61" t="s">
        <v>816</v>
      </c>
      <c r="G61" t="s">
        <v>820</v>
      </c>
      <c r="H61" s="3">
        <v>45762</v>
      </c>
      <c r="I61" t="s">
        <v>822</v>
      </c>
      <c r="J61">
        <f t="shared" si="0"/>
        <v>7</v>
      </c>
      <c r="K61" t="str">
        <f t="shared" si="1"/>
        <v>Late</v>
      </c>
      <c r="L61">
        <f t="shared" ca="1" si="2"/>
        <v>378</v>
      </c>
    </row>
    <row r="62" spans="1:12" x14ac:dyDescent="0.3">
      <c r="A62" t="s">
        <v>69</v>
      </c>
      <c r="B62" t="s">
        <v>809</v>
      </c>
      <c r="C62" s="3">
        <v>45440</v>
      </c>
      <c r="D62" s="3">
        <v>45470</v>
      </c>
      <c r="E62">
        <v>3849.56</v>
      </c>
      <c r="F62" t="s">
        <v>816</v>
      </c>
      <c r="G62" t="s">
        <v>821</v>
      </c>
      <c r="H62" s="3">
        <v>45470</v>
      </c>
      <c r="I62" t="s">
        <v>822</v>
      </c>
      <c r="J62">
        <f t="shared" si="0"/>
        <v>0</v>
      </c>
      <c r="K62" t="str">
        <f t="shared" si="1"/>
        <v>On-Time</v>
      </c>
      <c r="L62">
        <f t="shared" ca="1" si="2"/>
        <v>663</v>
      </c>
    </row>
    <row r="63" spans="1:12" x14ac:dyDescent="0.3">
      <c r="A63" t="s">
        <v>70</v>
      </c>
      <c r="B63" t="s">
        <v>809</v>
      </c>
      <c r="C63" s="3">
        <v>45408</v>
      </c>
      <c r="D63" s="3">
        <v>45438</v>
      </c>
      <c r="E63">
        <v>2055.5300000000002</v>
      </c>
      <c r="F63" t="s">
        <v>815</v>
      </c>
      <c r="G63" t="s">
        <v>820</v>
      </c>
      <c r="H63" s="3">
        <v>45437</v>
      </c>
      <c r="I63" t="s">
        <v>822</v>
      </c>
      <c r="J63">
        <f t="shared" si="0"/>
        <v>-1</v>
      </c>
      <c r="K63" t="str">
        <f t="shared" si="1"/>
        <v>On-Time</v>
      </c>
      <c r="L63">
        <f t="shared" ca="1" si="2"/>
        <v>695</v>
      </c>
    </row>
    <row r="64" spans="1:12" x14ac:dyDescent="0.3">
      <c r="A64" t="s">
        <v>71</v>
      </c>
      <c r="B64" t="s">
        <v>811</v>
      </c>
      <c r="C64" s="3">
        <v>44981</v>
      </c>
      <c r="D64" s="3">
        <v>45011</v>
      </c>
      <c r="E64">
        <v>2185.3200000000002</v>
      </c>
      <c r="F64" t="s">
        <v>818</v>
      </c>
      <c r="G64" t="s">
        <v>821</v>
      </c>
      <c r="H64" s="3">
        <v>45011</v>
      </c>
      <c r="I64" t="s">
        <v>822</v>
      </c>
      <c r="J64">
        <f t="shared" si="0"/>
        <v>0</v>
      </c>
      <c r="K64" t="str">
        <f t="shared" si="1"/>
        <v>On-Time</v>
      </c>
      <c r="L64">
        <f t="shared" ca="1" si="2"/>
        <v>1122</v>
      </c>
    </row>
    <row r="65" spans="1:12" x14ac:dyDescent="0.3">
      <c r="A65" t="s">
        <v>72</v>
      </c>
      <c r="B65" t="s">
        <v>809</v>
      </c>
      <c r="C65" s="3">
        <v>45703</v>
      </c>
      <c r="D65" s="3">
        <v>45733</v>
      </c>
      <c r="E65">
        <v>3382.98</v>
      </c>
      <c r="F65" t="s">
        <v>816</v>
      </c>
      <c r="G65" t="s">
        <v>821</v>
      </c>
      <c r="H65" s="3">
        <v>45733</v>
      </c>
      <c r="I65" t="s">
        <v>822</v>
      </c>
      <c r="J65">
        <f t="shared" si="0"/>
        <v>0</v>
      </c>
      <c r="K65" t="str">
        <f t="shared" si="1"/>
        <v>On-Time</v>
      </c>
      <c r="L65">
        <f t="shared" ca="1" si="2"/>
        <v>400</v>
      </c>
    </row>
    <row r="66" spans="1:12" x14ac:dyDescent="0.3">
      <c r="A66" t="s">
        <v>73</v>
      </c>
      <c r="B66" t="s">
        <v>810</v>
      </c>
      <c r="C66" s="3">
        <v>45404</v>
      </c>
      <c r="D66" s="3">
        <v>45434</v>
      </c>
      <c r="E66">
        <v>3571.55</v>
      </c>
      <c r="F66" t="s">
        <v>816</v>
      </c>
      <c r="G66" t="s">
        <v>820</v>
      </c>
      <c r="H66" s="3">
        <v>45432</v>
      </c>
      <c r="I66" t="s">
        <v>822</v>
      </c>
      <c r="J66">
        <f t="shared" si="0"/>
        <v>-2</v>
      </c>
      <c r="K66" t="str">
        <f t="shared" si="1"/>
        <v>On-Time</v>
      </c>
      <c r="L66">
        <f t="shared" ca="1" si="2"/>
        <v>699</v>
      </c>
    </row>
    <row r="67" spans="1:12" x14ac:dyDescent="0.3">
      <c r="A67" t="s">
        <v>74</v>
      </c>
      <c r="B67" t="s">
        <v>811</v>
      </c>
      <c r="C67" s="3">
        <v>45762</v>
      </c>
      <c r="D67" s="3">
        <v>45792</v>
      </c>
      <c r="E67">
        <v>2137.4499999999998</v>
      </c>
      <c r="F67" t="s">
        <v>817</v>
      </c>
      <c r="G67" t="s">
        <v>819</v>
      </c>
      <c r="H67" s="3">
        <v>45797</v>
      </c>
      <c r="I67" t="s">
        <v>822</v>
      </c>
      <c r="J67">
        <f t="shared" ref="J67:J130" si="3">IF(H67="",0,H67-D67)</f>
        <v>5</v>
      </c>
      <c r="K67" t="str">
        <f t="shared" ref="K67:K130" si="4">IF(G67="Open","Pending",IF(H67&lt;=D67,"On-Time","Late"))</f>
        <v>Pending</v>
      </c>
      <c r="L67">
        <f t="shared" ref="L67:L130" ca="1" si="5">TODAY()-C67</f>
        <v>341</v>
      </c>
    </row>
    <row r="68" spans="1:12" x14ac:dyDescent="0.3">
      <c r="A68" t="s">
        <v>75</v>
      </c>
      <c r="B68" t="s">
        <v>813</v>
      </c>
      <c r="C68" s="3">
        <v>45697</v>
      </c>
      <c r="D68" s="3">
        <v>45727</v>
      </c>
      <c r="E68">
        <v>3793.28</v>
      </c>
      <c r="F68" t="s">
        <v>817</v>
      </c>
      <c r="G68" t="s">
        <v>821</v>
      </c>
      <c r="H68" s="3">
        <v>45727</v>
      </c>
      <c r="I68" t="s">
        <v>822</v>
      </c>
      <c r="J68">
        <f t="shared" si="3"/>
        <v>0</v>
      </c>
      <c r="K68" t="str">
        <f t="shared" si="4"/>
        <v>On-Time</v>
      </c>
      <c r="L68">
        <f t="shared" ca="1" si="5"/>
        <v>406</v>
      </c>
    </row>
    <row r="69" spans="1:12" x14ac:dyDescent="0.3">
      <c r="A69" t="s">
        <v>76</v>
      </c>
      <c r="B69" t="s">
        <v>809</v>
      </c>
      <c r="C69" s="3">
        <v>45660</v>
      </c>
      <c r="D69" s="3">
        <v>45690</v>
      </c>
      <c r="E69">
        <v>2973.27</v>
      </c>
      <c r="F69" t="s">
        <v>815</v>
      </c>
      <c r="G69" t="s">
        <v>821</v>
      </c>
      <c r="H69" s="3">
        <v>45690</v>
      </c>
      <c r="I69" t="s">
        <v>822</v>
      </c>
      <c r="J69">
        <f t="shared" si="3"/>
        <v>0</v>
      </c>
      <c r="K69" t="str">
        <f t="shared" si="4"/>
        <v>On-Time</v>
      </c>
      <c r="L69">
        <f t="shared" ca="1" si="5"/>
        <v>443</v>
      </c>
    </row>
    <row r="70" spans="1:12" x14ac:dyDescent="0.3">
      <c r="A70" t="s">
        <v>77</v>
      </c>
      <c r="B70" t="s">
        <v>809</v>
      </c>
      <c r="C70" s="3">
        <v>45497</v>
      </c>
      <c r="D70" s="3">
        <v>45527</v>
      </c>
      <c r="E70">
        <v>4968.32</v>
      </c>
      <c r="F70" t="s">
        <v>817</v>
      </c>
      <c r="G70" t="s">
        <v>819</v>
      </c>
      <c r="H70" s="3">
        <v>45527</v>
      </c>
      <c r="I70" t="s">
        <v>822</v>
      </c>
      <c r="J70">
        <f t="shared" si="3"/>
        <v>0</v>
      </c>
      <c r="K70" t="str">
        <f t="shared" si="4"/>
        <v>Pending</v>
      </c>
      <c r="L70">
        <f t="shared" ca="1" si="5"/>
        <v>606</v>
      </c>
    </row>
    <row r="71" spans="1:12" x14ac:dyDescent="0.3">
      <c r="A71" t="s">
        <v>78</v>
      </c>
      <c r="B71" t="s">
        <v>809</v>
      </c>
      <c r="C71" s="3">
        <v>44958</v>
      </c>
      <c r="D71" s="3">
        <v>44988</v>
      </c>
      <c r="E71">
        <v>4336.91</v>
      </c>
      <c r="F71" t="s">
        <v>817</v>
      </c>
      <c r="G71" t="s">
        <v>819</v>
      </c>
      <c r="H71" s="3">
        <v>44991</v>
      </c>
      <c r="I71" t="s">
        <v>822</v>
      </c>
      <c r="J71">
        <f t="shared" si="3"/>
        <v>3</v>
      </c>
      <c r="K71" t="str">
        <f t="shared" si="4"/>
        <v>Pending</v>
      </c>
      <c r="L71">
        <f t="shared" ca="1" si="5"/>
        <v>1145</v>
      </c>
    </row>
    <row r="72" spans="1:12" x14ac:dyDescent="0.3">
      <c r="A72" t="s">
        <v>79</v>
      </c>
      <c r="B72" t="s">
        <v>813</v>
      </c>
      <c r="C72" s="3">
        <v>45629</v>
      </c>
      <c r="D72" s="3">
        <v>45659</v>
      </c>
      <c r="E72">
        <v>2479.9499999999998</v>
      </c>
      <c r="F72" t="s">
        <v>817</v>
      </c>
      <c r="G72" t="s">
        <v>821</v>
      </c>
      <c r="H72" s="3">
        <v>45659</v>
      </c>
      <c r="I72" t="s">
        <v>822</v>
      </c>
      <c r="J72">
        <f t="shared" si="3"/>
        <v>0</v>
      </c>
      <c r="K72" t="str">
        <f t="shared" si="4"/>
        <v>On-Time</v>
      </c>
      <c r="L72">
        <f t="shared" ca="1" si="5"/>
        <v>474</v>
      </c>
    </row>
    <row r="73" spans="1:12" x14ac:dyDescent="0.3">
      <c r="A73" t="s">
        <v>80</v>
      </c>
      <c r="B73" t="s">
        <v>813</v>
      </c>
      <c r="C73" s="3">
        <v>45821</v>
      </c>
      <c r="D73" s="3">
        <v>45851</v>
      </c>
      <c r="E73">
        <v>2498.69</v>
      </c>
      <c r="F73" t="s">
        <v>817</v>
      </c>
      <c r="G73" t="s">
        <v>819</v>
      </c>
      <c r="H73" s="3">
        <v>45853</v>
      </c>
      <c r="I73" t="s">
        <v>822</v>
      </c>
      <c r="J73">
        <f t="shared" si="3"/>
        <v>2</v>
      </c>
      <c r="K73" t="str">
        <f t="shared" si="4"/>
        <v>Pending</v>
      </c>
      <c r="L73">
        <f t="shared" ca="1" si="5"/>
        <v>282</v>
      </c>
    </row>
    <row r="74" spans="1:12" x14ac:dyDescent="0.3">
      <c r="A74" t="s">
        <v>81</v>
      </c>
      <c r="B74" t="s">
        <v>810</v>
      </c>
      <c r="C74" s="3">
        <v>45597</v>
      </c>
      <c r="D74" s="3">
        <v>45627</v>
      </c>
      <c r="E74">
        <v>2106.66</v>
      </c>
      <c r="F74" t="s">
        <v>815</v>
      </c>
      <c r="G74" t="s">
        <v>821</v>
      </c>
      <c r="H74" s="3">
        <v>45627</v>
      </c>
      <c r="I74" t="s">
        <v>822</v>
      </c>
      <c r="J74">
        <f t="shared" si="3"/>
        <v>0</v>
      </c>
      <c r="K74" t="str">
        <f t="shared" si="4"/>
        <v>On-Time</v>
      </c>
      <c r="L74">
        <f t="shared" ca="1" si="5"/>
        <v>506</v>
      </c>
    </row>
    <row r="75" spans="1:12" x14ac:dyDescent="0.3">
      <c r="A75" t="s">
        <v>82</v>
      </c>
      <c r="B75" t="s">
        <v>809</v>
      </c>
      <c r="C75" s="3">
        <v>45092</v>
      </c>
      <c r="D75" s="3">
        <v>45122</v>
      </c>
      <c r="E75">
        <v>2082.92</v>
      </c>
      <c r="F75" t="s">
        <v>818</v>
      </c>
      <c r="G75" t="s">
        <v>820</v>
      </c>
      <c r="H75" s="3">
        <v>45120</v>
      </c>
      <c r="I75" t="s">
        <v>822</v>
      </c>
      <c r="J75">
        <f t="shared" si="3"/>
        <v>-2</v>
      </c>
      <c r="K75" t="str">
        <f t="shared" si="4"/>
        <v>On-Time</v>
      </c>
      <c r="L75">
        <f t="shared" ca="1" si="5"/>
        <v>1011</v>
      </c>
    </row>
    <row r="76" spans="1:12" x14ac:dyDescent="0.3">
      <c r="A76" t="s">
        <v>83</v>
      </c>
      <c r="B76" t="s">
        <v>811</v>
      </c>
      <c r="C76" s="3">
        <v>45187</v>
      </c>
      <c r="D76" s="3">
        <v>45217</v>
      </c>
      <c r="E76">
        <v>3536.09</v>
      </c>
      <c r="F76" t="s">
        <v>817</v>
      </c>
      <c r="G76" t="s">
        <v>821</v>
      </c>
      <c r="H76" s="3">
        <v>45217</v>
      </c>
      <c r="I76" t="s">
        <v>822</v>
      </c>
      <c r="J76">
        <f t="shared" si="3"/>
        <v>0</v>
      </c>
      <c r="K76" t="str">
        <f t="shared" si="4"/>
        <v>On-Time</v>
      </c>
      <c r="L76">
        <f t="shared" ca="1" si="5"/>
        <v>916</v>
      </c>
    </row>
    <row r="77" spans="1:12" x14ac:dyDescent="0.3">
      <c r="A77" t="s">
        <v>84</v>
      </c>
      <c r="B77" t="s">
        <v>809</v>
      </c>
      <c r="C77" s="3">
        <v>45661</v>
      </c>
      <c r="D77" s="3">
        <v>45691</v>
      </c>
      <c r="E77">
        <v>3984.82</v>
      </c>
      <c r="F77" t="s">
        <v>815</v>
      </c>
      <c r="G77" t="s">
        <v>819</v>
      </c>
      <c r="H77" s="3">
        <v>45689</v>
      </c>
      <c r="I77" t="s">
        <v>822</v>
      </c>
      <c r="J77">
        <f t="shared" si="3"/>
        <v>-2</v>
      </c>
      <c r="K77" t="str">
        <f t="shared" si="4"/>
        <v>Pending</v>
      </c>
      <c r="L77">
        <f t="shared" ca="1" si="5"/>
        <v>442</v>
      </c>
    </row>
    <row r="78" spans="1:12" x14ac:dyDescent="0.3">
      <c r="A78" t="s">
        <v>85</v>
      </c>
      <c r="B78" t="s">
        <v>813</v>
      </c>
      <c r="C78" s="3">
        <v>45068</v>
      </c>
      <c r="D78" s="3">
        <v>45098</v>
      </c>
      <c r="E78">
        <v>1175.94</v>
      </c>
      <c r="F78" t="s">
        <v>817</v>
      </c>
      <c r="G78" t="s">
        <v>820</v>
      </c>
      <c r="H78" s="3">
        <v>45103</v>
      </c>
      <c r="I78" t="s">
        <v>822</v>
      </c>
      <c r="J78">
        <f t="shared" si="3"/>
        <v>5</v>
      </c>
      <c r="K78" t="str">
        <f t="shared" si="4"/>
        <v>Late</v>
      </c>
      <c r="L78">
        <f t="shared" ca="1" si="5"/>
        <v>1035</v>
      </c>
    </row>
    <row r="79" spans="1:12" x14ac:dyDescent="0.3">
      <c r="A79" t="s">
        <v>86</v>
      </c>
      <c r="B79" t="s">
        <v>812</v>
      </c>
      <c r="C79" s="3">
        <v>45556</v>
      </c>
      <c r="D79" s="3">
        <v>45586</v>
      </c>
      <c r="E79">
        <v>1596.04</v>
      </c>
      <c r="F79" t="s">
        <v>818</v>
      </c>
      <c r="G79" t="s">
        <v>821</v>
      </c>
      <c r="H79" s="3">
        <v>45586</v>
      </c>
      <c r="I79" t="s">
        <v>822</v>
      </c>
      <c r="J79">
        <f t="shared" si="3"/>
        <v>0</v>
      </c>
      <c r="K79" t="str">
        <f t="shared" si="4"/>
        <v>On-Time</v>
      </c>
      <c r="L79">
        <f t="shared" ca="1" si="5"/>
        <v>547</v>
      </c>
    </row>
    <row r="80" spans="1:12" x14ac:dyDescent="0.3">
      <c r="A80" t="s">
        <v>87</v>
      </c>
      <c r="B80" t="s">
        <v>812</v>
      </c>
      <c r="C80" s="3">
        <v>45401</v>
      </c>
      <c r="D80" s="3">
        <v>45431</v>
      </c>
      <c r="E80">
        <v>1687.52</v>
      </c>
      <c r="F80" t="s">
        <v>817</v>
      </c>
      <c r="G80" t="s">
        <v>821</v>
      </c>
      <c r="H80" s="3">
        <v>45431</v>
      </c>
      <c r="I80" t="s">
        <v>822</v>
      </c>
      <c r="J80">
        <f t="shared" si="3"/>
        <v>0</v>
      </c>
      <c r="K80" t="str">
        <f t="shared" si="4"/>
        <v>On-Time</v>
      </c>
      <c r="L80">
        <f t="shared" ca="1" si="5"/>
        <v>702</v>
      </c>
    </row>
    <row r="81" spans="1:12" x14ac:dyDescent="0.3">
      <c r="A81" t="s">
        <v>88</v>
      </c>
      <c r="B81" t="s">
        <v>812</v>
      </c>
      <c r="C81" s="3">
        <v>45161</v>
      </c>
      <c r="D81" s="3">
        <v>45191</v>
      </c>
      <c r="E81">
        <v>1247.56</v>
      </c>
      <c r="F81" t="s">
        <v>817</v>
      </c>
      <c r="G81" t="s">
        <v>821</v>
      </c>
      <c r="H81" s="3">
        <v>45191</v>
      </c>
      <c r="I81" t="s">
        <v>822</v>
      </c>
      <c r="J81">
        <f t="shared" si="3"/>
        <v>0</v>
      </c>
      <c r="K81" t="str">
        <f t="shared" si="4"/>
        <v>On-Time</v>
      </c>
      <c r="L81">
        <f t="shared" ca="1" si="5"/>
        <v>942</v>
      </c>
    </row>
    <row r="82" spans="1:12" x14ac:dyDescent="0.3">
      <c r="A82" t="s">
        <v>89</v>
      </c>
      <c r="B82" t="s">
        <v>811</v>
      </c>
      <c r="C82" s="3">
        <v>45811</v>
      </c>
      <c r="D82" s="3">
        <v>45841</v>
      </c>
      <c r="E82">
        <v>3330.96</v>
      </c>
      <c r="F82" t="s">
        <v>818</v>
      </c>
      <c r="G82" t="s">
        <v>820</v>
      </c>
      <c r="H82" s="3">
        <v>45842</v>
      </c>
      <c r="I82" t="s">
        <v>822</v>
      </c>
      <c r="J82">
        <f t="shared" si="3"/>
        <v>1</v>
      </c>
      <c r="K82" t="str">
        <f t="shared" si="4"/>
        <v>Late</v>
      </c>
      <c r="L82">
        <f t="shared" ca="1" si="5"/>
        <v>292</v>
      </c>
    </row>
    <row r="83" spans="1:12" x14ac:dyDescent="0.3">
      <c r="A83" t="s">
        <v>90</v>
      </c>
      <c r="B83" t="s">
        <v>813</v>
      </c>
      <c r="C83" s="3">
        <v>45561</v>
      </c>
      <c r="D83" s="3">
        <v>45591</v>
      </c>
      <c r="E83">
        <v>1612.59</v>
      </c>
      <c r="F83" t="s">
        <v>814</v>
      </c>
      <c r="G83" t="s">
        <v>819</v>
      </c>
      <c r="H83" s="3">
        <v>45593</v>
      </c>
      <c r="I83" t="s">
        <v>822</v>
      </c>
      <c r="J83">
        <f t="shared" si="3"/>
        <v>2</v>
      </c>
      <c r="K83" t="str">
        <f t="shared" si="4"/>
        <v>Pending</v>
      </c>
      <c r="L83">
        <f t="shared" ca="1" si="5"/>
        <v>542</v>
      </c>
    </row>
    <row r="84" spans="1:12" x14ac:dyDescent="0.3">
      <c r="A84" t="s">
        <v>91</v>
      </c>
      <c r="B84" t="s">
        <v>812</v>
      </c>
      <c r="C84" s="3">
        <v>45458</v>
      </c>
      <c r="D84" s="3">
        <v>45488</v>
      </c>
      <c r="E84">
        <v>1096.08</v>
      </c>
      <c r="F84" t="s">
        <v>815</v>
      </c>
      <c r="G84" t="s">
        <v>820</v>
      </c>
      <c r="H84" s="3">
        <v>45486</v>
      </c>
      <c r="I84" t="s">
        <v>822</v>
      </c>
      <c r="J84">
        <f t="shared" si="3"/>
        <v>-2</v>
      </c>
      <c r="K84" t="str">
        <f t="shared" si="4"/>
        <v>On-Time</v>
      </c>
      <c r="L84">
        <f t="shared" ca="1" si="5"/>
        <v>645</v>
      </c>
    </row>
    <row r="85" spans="1:12" x14ac:dyDescent="0.3">
      <c r="A85" t="s">
        <v>92</v>
      </c>
      <c r="B85" t="s">
        <v>811</v>
      </c>
      <c r="C85" s="3">
        <v>45423</v>
      </c>
      <c r="D85" s="3">
        <v>45453</v>
      </c>
      <c r="E85">
        <v>1927.05</v>
      </c>
      <c r="F85" t="s">
        <v>817</v>
      </c>
      <c r="G85" t="s">
        <v>820</v>
      </c>
      <c r="H85" s="3">
        <v>45457</v>
      </c>
      <c r="I85" t="s">
        <v>822</v>
      </c>
      <c r="J85">
        <f t="shared" si="3"/>
        <v>4</v>
      </c>
      <c r="K85" t="str">
        <f t="shared" si="4"/>
        <v>Late</v>
      </c>
      <c r="L85">
        <f t="shared" ca="1" si="5"/>
        <v>680</v>
      </c>
    </row>
    <row r="86" spans="1:12" x14ac:dyDescent="0.3">
      <c r="A86" t="s">
        <v>93</v>
      </c>
      <c r="B86" t="s">
        <v>811</v>
      </c>
      <c r="C86" s="3">
        <v>45082</v>
      </c>
      <c r="D86" s="3">
        <v>45112</v>
      </c>
      <c r="E86">
        <v>1169.93</v>
      </c>
      <c r="F86" t="s">
        <v>817</v>
      </c>
      <c r="G86" t="s">
        <v>819</v>
      </c>
      <c r="H86" s="3">
        <v>45109</v>
      </c>
      <c r="I86" t="s">
        <v>822</v>
      </c>
      <c r="J86">
        <f t="shared" si="3"/>
        <v>-3</v>
      </c>
      <c r="K86" t="str">
        <f t="shared" si="4"/>
        <v>Pending</v>
      </c>
      <c r="L86">
        <f t="shared" ca="1" si="5"/>
        <v>1021</v>
      </c>
    </row>
    <row r="87" spans="1:12" x14ac:dyDescent="0.3">
      <c r="A87" t="s">
        <v>94</v>
      </c>
      <c r="B87" t="s">
        <v>813</v>
      </c>
      <c r="C87" s="3">
        <v>45820</v>
      </c>
      <c r="D87" s="3">
        <v>45850</v>
      </c>
      <c r="E87">
        <v>662.31</v>
      </c>
      <c r="F87" t="s">
        <v>816</v>
      </c>
      <c r="G87" t="s">
        <v>819</v>
      </c>
      <c r="H87" s="3">
        <v>45860</v>
      </c>
      <c r="I87" t="s">
        <v>822</v>
      </c>
      <c r="J87">
        <f t="shared" si="3"/>
        <v>10</v>
      </c>
      <c r="K87" t="str">
        <f t="shared" si="4"/>
        <v>Pending</v>
      </c>
      <c r="L87">
        <f t="shared" ca="1" si="5"/>
        <v>283</v>
      </c>
    </row>
    <row r="88" spans="1:12" x14ac:dyDescent="0.3">
      <c r="A88" t="s">
        <v>95</v>
      </c>
      <c r="B88" t="s">
        <v>813</v>
      </c>
      <c r="C88" s="3">
        <v>45111</v>
      </c>
      <c r="D88" s="3">
        <v>45141</v>
      </c>
      <c r="E88">
        <v>3443.5</v>
      </c>
      <c r="F88" t="s">
        <v>815</v>
      </c>
      <c r="G88" t="s">
        <v>821</v>
      </c>
      <c r="H88" s="3">
        <v>45141</v>
      </c>
      <c r="I88" t="s">
        <v>822</v>
      </c>
      <c r="J88">
        <f t="shared" si="3"/>
        <v>0</v>
      </c>
      <c r="K88" t="str">
        <f t="shared" si="4"/>
        <v>On-Time</v>
      </c>
      <c r="L88">
        <f t="shared" ca="1" si="5"/>
        <v>992</v>
      </c>
    </row>
    <row r="89" spans="1:12" x14ac:dyDescent="0.3">
      <c r="A89" t="s">
        <v>96</v>
      </c>
      <c r="B89" t="s">
        <v>813</v>
      </c>
      <c r="C89" s="3">
        <v>45456</v>
      </c>
      <c r="D89" s="3">
        <v>45486</v>
      </c>
      <c r="E89">
        <v>3290.86</v>
      </c>
      <c r="F89" t="s">
        <v>815</v>
      </c>
      <c r="G89" t="s">
        <v>821</v>
      </c>
      <c r="H89" s="3">
        <v>45486</v>
      </c>
      <c r="I89" t="s">
        <v>822</v>
      </c>
      <c r="J89">
        <f t="shared" si="3"/>
        <v>0</v>
      </c>
      <c r="K89" t="str">
        <f t="shared" si="4"/>
        <v>On-Time</v>
      </c>
      <c r="L89">
        <f t="shared" ca="1" si="5"/>
        <v>647</v>
      </c>
    </row>
    <row r="90" spans="1:12" x14ac:dyDescent="0.3">
      <c r="A90" t="s">
        <v>97</v>
      </c>
      <c r="B90" t="s">
        <v>813</v>
      </c>
      <c r="C90" s="3">
        <v>45737</v>
      </c>
      <c r="D90" s="3">
        <v>45767</v>
      </c>
      <c r="E90">
        <v>1872.61</v>
      </c>
      <c r="F90" t="s">
        <v>814</v>
      </c>
      <c r="G90" t="s">
        <v>819</v>
      </c>
      <c r="H90" s="3">
        <v>45769</v>
      </c>
      <c r="I90" t="s">
        <v>822</v>
      </c>
      <c r="J90">
        <f t="shared" si="3"/>
        <v>2</v>
      </c>
      <c r="K90" t="str">
        <f t="shared" si="4"/>
        <v>Pending</v>
      </c>
      <c r="L90">
        <f t="shared" ca="1" si="5"/>
        <v>366</v>
      </c>
    </row>
    <row r="91" spans="1:12" x14ac:dyDescent="0.3">
      <c r="A91" t="s">
        <v>98</v>
      </c>
      <c r="B91" t="s">
        <v>813</v>
      </c>
      <c r="C91" s="3">
        <v>45520</v>
      </c>
      <c r="D91" s="3">
        <v>45550</v>
      </c>
      <c r="E91">
        <v>307.49</v>
      </c>
      <c r="F91" t="s">
        <v>816</v>
      </c>
      <c r="G91" t="s">
        <v>819</v>
      </c>
      <c r="H91" s="3">
        <v>45554</v>
      </c>
      <c r="I91" t="s">
        <v>822</v>
      </c>
      <c r="J91">
        <f t="shared" si="3"/>
        <v>4</v>
      </c>
      <c r="K91" t="str">
        <f t="shared" si="4"/>
        <v>Pending</v>
      </c>
      <c r="L91">
        <f t="shared" ca="1" si="5"/>
        <v>583</v>
      </c>
    </row>
    <row r="92" spans="1:12" x14ac:dyDescent="0.3">
      <c r="A92" t="s">
        <v>99</v>
      </c>
      <c r="B92" t="s">
        <v>813</v>
      </c>
      <c r="C92" s="3">
        <v>45403</v>
      </c>
      <c r="D92" s="3">
        <v>45433</v>
      </c>
      <c r="E92">
        <v>211.08</v>
      </c>
      <c r="F92" t="s">
        <v>818</v>
      </c>
      <c r="G92" t="s">
        <v>820</v>
      </c>
      <c r="H92" s="3">
        <v>45434</v>
      </c>
      <c r="I92" t="s">
        <v>822</v>
      </c>
      <c r="J92">
        <f t="shared" si="3"/>
        <v>1</v>
      </c>
      <c r="K92" t="str">
        <f t="shared" si="4"/>
        <v>Late</v>
      </c>
      <c r="L92">
        <f t="shared" ca="1" si="5"/>
        <v>700</v>
      </c>
    </row>
    <row r="93" spans="1:12" x14ac:dyDescent="0.3">
      <c r="A93" t="s">
        <v>100</v>
      </c>
      <c r="B93" t="s">
        <v>813</v>
      </c>
      <c r="C93" s="3">
        <v>44966</v>
      </c>
      <c r="D93" s="3">
        <v>44996</v>
      </c>
      <c r="E93">
        <v>2052.0100000000002</v>
      </c>
      <c r="F93" t="s">
        <v>814</v>
      </c>
      <c r="G93" t="s">
        <v>819</v>
      </c>
      <c r="H93" s="3">
        <v>44994</v>
      </c>
      <c r="I93" t="s">
        <v>822</v>
      </c>
      <c r="J93">
        <f t="shared" si="3"/>
        <v>-2</v>
      </c>
      <c r="K93" t="str">
        <f t="shared" si="4"/>
        <v>Pending</v>
      </c>
      <c r="L93">
        <f t="shared" ca="1" si="5"/>
        <v>1137</v>
      </c>
    </row>
    <row r="94" spans="1:12" x14ac:dyDescent="0.3">
      <c r="A94" t="s">
        <v>101</v>
      </c>
      <c r="B94" t="s">
        <v>813</v>
      </c>
      <c r="C94" s="3">
        <v>45071</v>
      </c>
      <c r="D94" s="3">
        <v>45101</v>
      </c>
      <c r="E94">
        <v>4091.87</v>
      </c>
      <c r="F94" t="s">
        <v>818</v>
      </c>
      <c r="G94" t="s">
        <v>819</v>
      </c>
      <c r="H94" s="3">
        <v>45108</v>
      </c>
      <c r="I94" t="s">
        <v>822</v>
      </c>
      <c r="J94">
        <f t="shared" si="3"/>
        <v>7</v>
      </c>
      <c r="K94" t="str">
        <f t="shared" si="4"/>
        <v>Pending</v>
      </c>
      <c r="L94">
        <f t="shared" ca="1" si="5"/>
        <v>1032</v>
      </c>
    </row>
    <row r="95" spans="1:12" x14ac:dyDescent="0.3">
      <c r="A95" t="s">
        <v>102</v>
      </c>
      <c r="B95" t="s">
        <v>812</v>
      </c>
      <c r="C95" s="3">
        <v>45227</v>
      </c>
      <c r="D95" s="3">
        <v>45257</v>
      </c>
      <c r="E95">
        <v>1321.04</v>
      </c>
      <c r="F95" t="s">
        <v>818</v>
      </c>
      <c r="G95" t="s">
        <v>819</v>
      </c>
      <c r="H95" s="3">
        <v>45254</v>
      </c>
      <c r="I95" t="s">
        <v>822</v>
      </c>
      <c r="J95">
        <f t="shared" si="3"/>
        <v>-3</v>
      </c>
      <c r="K95" t="str">
        <f t="shared" si="4"/>
        <v>Pending</v>
      </c>
      <c r="L95">
        <f t="shared" ca="1" si="5"/>
        <v>876</v>
      </c>
    </row>
    <row r="96" spans="1:12" x14ac:dyDescent="0.3">
      <c r="A96" t="s">
        <v>103</v>
      </c>
      <c r="B96" t="s">
        <v>809</v>
      </c>
      <c r="C96" s="3">
        <v>45088</v>
      </c>
      <c r="D96" s="3">
        <v>45118</v>
      </c>
      <c r="E96">
        <v>4205.21</v>
      </c>
      <c r="F96" t="s">
        <v>818</v>
      </c>
      <c r="G96" t="s">
        <v>821</v>
      </c>
      <c r="H96" s="3">
        <v>45118</v>
      </c>
      <c r="I96" t="s">
        <v>822</v>
      </c>
      <c r="J96">
        <f t="shared" si="3"/>
        <v>0</v>
      </c>
      <c r="K96" t="str">
        <f t="shared" si="4"/>
        <v>On-Time</v>
      </c>
      <c r="L96">
        <f t="shared" ca="1" si="5"/>
        <v>1015</v>
      </c>
    </row>
    <row r="97" spans="1:12" x14ac:dyDescent="0.3">
      <c r="A97" t="s">
        <v>104</v>
      </c>
      <c r="B97" t="s">
        <v>810</v>
      </c>
      <c r="C97" s="3">
        <v>45426</v>
      </c>
      <c r="D97" s="3">
        <v>45456</v>
      </c>
      <c r="E97">
        <v>4804.12</v>
      </c>
      <c r="F97" t="s">
        <v>815</v>
      </c>
      <c r="G97" t="s">
        <v>819</v>
      </c>
      <c r="H97" s="3">
        <v>45459</v>
      </c>
      <c r="I97" t="s">
        <v>822</v>
      </c>
      <c r="J97">
        <f t="shared" si="3"/>
        <v>3</v>
      </c>
      <c r="K97" t="str">
        <f t="shared" si="4"/>
        <v>Pending</v>
      </c>
      <c r="L97">
        <f t="shared" ca="1" si="5"/>
        <v>677</v>
      </c>
    </row>
    <row r="98" spans="1:12" x14ac:dyDescent="0.3">
      <c r="A98" t="s">
        <v>105</v>
      </c>
      <c r="B98" t="s">
        <v>810</v>
      </c>
      <c r="C98" s="3">
        <v>45442</v>
      </c>
      <c r="D98" s="3">
        <v>45472</v>
      </c>
      <c r="E98">
        <v>2179.34</v>
      </c>
      <c r="F98" t="s">
        <v>817</v>
      </c>
      <c r="G98" t="s">
        <v>821</v>
      </c>
      <c r="H98" s="3">
        <v>45472</v>
      </c>
      <c r="I98" t="s">
        <v>822</v>
      </c>
      <c r="J98">
        <f t="shared" si="3"/>
        <v>0</v>
      </c>
      <c r="K98" t="str">
        <f t="shared" si="4"/>
        <v>On-Time</v>
      </c>
      <c r="L98">
        <f t="shared" ca="1" si="5"/>
        <v>661</v>
      </c>
    </row>
    <row r="99" spans="1:12" x14ac:dyDescent="0.3">
      <c r="A99" t="s">
        <v>106</v>
      </c>
      <c r="B99" t="s">
        <v>811</v>
      </c>
      <c r="C99" s="3">
        <v>45350</v>
      </c>
      <c r="D99" s="3">
        <v>45380</v>
      </c>
      <c r="E99">
        <v>2918.59</v>
      </c>
      <c r="F99" t="s">
        <v>815</v>
      </c>
      <c r="G99" t="s">
        <v>819</v>
      </c>
      <c r="H99" s="3">
        <v>45383</v>
      </c>
      <c r="I99" t="s">
        <v>822</v>
      </c>
      <c r="J99">
        <f t="shared" si="3"/>
        <v>3</v>
      </c>
      <c r="K99" t="str">
        <f t="shared" si="4"/>
        <v>Pending</v>
      </c>
      <c r="L99">
        <f t="shared" ca="1" si="5"/>
        <v>753</v>
      </c>
    </row>
    <row r="100" spans="1:12" x14ac:dyDescent="0.3">
      <c r="A100" t="s">
        <v>107</v>
      </c>
      <c r="B100" t="s">
        <v>812</v>
      </c>
      <c r="C100" s="3">
        <v>45568</v>
      </c>
      <c r="D100" s="3">
        <v>45598</v>
      </c>
      <c r="E100">
        <v>4508.92</v>
      </c>
      <c r="F100" t="s">
        <v>815</v>
      </c>
      <c r="G100" t="s">
        <v>821</v>
      </c>
      <c r="H100" s="3">
        <v>45598</v>
      </c>
      <c r="I100" t="s">
        <v>822</v>
      </c>
      <c r="J100">
        <f t="shared" si="3"/>
        <v>0</v>
      </c>
      <c r="K100" t="str">
        <f t="shared" si="4"/>
        <v>On-Time</v>
      </c>
      <c r="L100">
        <f t="shared" ca="1" si="5"/>
        <v>535</v>
      </c>
    </row>
    <row r="101" spans="1:12" x14ac:dyDescent="0.3">
      <c r="A101" t="s">
        <v>108</v>
      </c>
      <c r="B101" t="s">
        <v>809</v>
      </c>
      <c r="C101" s="3">
        <v>45134</v>
      </c>
      <c r="D101" s="3">
        <v>45164</v>
      </c>
      <c r="E101">
        <v>3543.69</v>
      </c>
      <c r="F101" t="s">
        <v>814</v>
      </c>
      <c r="G101" t="s">
        <v>820</v>
      </c>
      <c r="H101" s="3">
        <v>45170</v>
      </c>
      <c r="I101" t="s">
        <v>822</v>
      </c>
      <c r="J101">
        <f t="shared" si="3"/>
        <v>6</v>
      </c>
      <c r="K101" t="str">
        <f t="shared" si="4"/>
        <v>Late</v>
      </c>
      <c r="L101">
        <f t="shared" ca="1" si="5"/>
        <v>969</v>
      </c>
    </row>
    <row r="102" spans="1:12" x14ac:dyDescent="0.3">
      <c r="A102" t="s">
        <v>109</v>
      </c>
      <c r="B102" t="s">
        <v>812</v>
      </c>
      <c r="C102" s="3">
        <v>45554</v>
      </c>
      <c r="D102" s="3">
        <v>45584</v>
      </c>
      <c r="E102">
        <v>3606.75</v>
      </c>
      <c r="F102" t="s">
        <v>818</v>
      </c>
      <c r="G102" t="s">
        <v>819</v>
      </c>
      <c r="H102" s="3">
        <v>45590</v>
      </c>
      <c r="I102" t="s">
        <v>822</v>
      </c>
      <c r="J102">
        <f t="shared" si="3"/>
        <v>6</v>
      </c>
      <c r="K102" t="str">
        <f t="shared" si="4"/>
        <v>Pending</v>
      </c>
      <c r="L102">
        <f t="shared" ca="1" si="5"/>
        <v>549</v>
      </c>
    </row>
    <row r="103" spans="1:12" x14ac:dyDescent="0.3">
      <c r="A103" t="s">
        <v>110</v>
      </c>
      <c r="B103" t="s">
        <v>812</v>
      </c>
      <c r="C103" s="3">
        <v>45838</v>
      </c>
      <c r="D103" s="3">
        <v>45868</v>
      </c>
      <c r="E103">
        <v>3518.19</v>
      </c>
      <c r="F103" t="s">
        <v>817</v>
      </c>
      <c r="G103" t="s">
        <v>820</v>
      </c>
      <c r="H103" s="3">
        <v>45876</v>
      </c>
      <c r="I103" t="s">
        <v>822</v>
      </c>
      <c r="J103">
        <f t="shared" si="3"/>
        <v>8</v>
      </c>
      <c r="K103" t="str">
        <f t="shared" si="4"/>
        <v>Late</v>
      </c>
      <c r="L103">
        <f t="shared" ca="1" si="5"/>
        <v>265</v>
      </c>
    </row>
    <row r="104" spans="1:12" x14ac:dyDescent="0.3">
      <c r="A104" t="s">
        <v>111</v>
      </c>
      <c r="B104" t="s">
        <v>810</v>
      </c>
      <c r="C104" s="3">
        <v>45653</v>
      </c>
      <c r="D104" s="3">
        <v>45683</v>
      </c>
      <c r="E104">
        <v>4853.53</v>
      </c>
      <c r="F104" t="s">
        <v>815</v>
      </c>
      <c r="G104" t="s">
        <v>819</v>
      </c>
      <c r="H104" s="3">
        <v>45686</v>
      </c>
      <c r="I104" t="s">
        <v>822</v>
      </c>
      <c r="J104">
        <f t="shared" si="3"/>
        <v>3</v>
      </c>
      <c r="K104" t="str">
        <f t="shared" si="4"/>
        <v>Pending</v>
      </c>
      <c r="L104">
        <f t="shared" ca="1" si="5"/>
        <v>450</v>
      </c>
    </row>
    <row r="105" spans="1:12" x14ac:dyDescent="0.3">
      <c r="A105" t="s">
        <v>112</v>
      </c>
      <c r="B105" t="s">
        <v>809</v>
      </c>
      <c r="C105" s="3">
        <v>45533</v>
      </c>
      <c r="D105" s="3">
        <v>45563</v>
      </c>
      <c r="E105">
        <v>4099.79</v>
      </c>
      <c r="F105" t="s">
        <v>814</v>
      </c>
      <c r="G105" t="s">
        <v>820</v>
      </c>
      <c r="H105" s="3">
        <v>45560</v>
      </c>
      <c r="I105" t="s">
        <v>822</v>
      </c>
      <c r="J105">
        <f t="shared" si="3"/>
        <v>-3</v>
      </c>
      <c r="K105" t="str">
        <f t="shared" si="4"/>
        <v>On-Time</v>
      </c>
      <c r="L105">
        <f t="shared" ca="1" si="5"/>
        <v>570</v>
      </c>
    </row>
    <row r="106" spans="1:12" x14ac:dyDescent="0.3">
      <c r="A106" t="s">
        <v>113</v>
      </c>
      <c r="B106" t="s">
        <v>809</v>
      </c>
      <c r="C106" s="3">
        <v>44958</v>
      </c>
      <c r="D106" s="3">
        <v>44988</v>
      </c>
      <c r="E106">
        <v>3167.66</v>
      </c>
      <c r="F106" t="s">
        <v>815</v>
      </c>
      <c r="G106" t="s">
        <v>821</v>
      </c>
      <c r="H106" s="3">
        <v>44988</v>
      </c>
      <c r="I106" t="s">
        <v>822</v>
      </c>
      <c r="J106">
        <f t="shared" si="3"/>
        <v>0</v>
      </c>
      <c r="K106" t="str">
        <f t="shared" si="4"/>
        <v>On-Time</v>
      </c>
      <c r="L106">
        <f t="shared" ca="1" si="5"/>
        <v>1145</v>
      </c>
    </row>
    <row r="107" spans="1:12" x14ac:dyDescent="0.3">
      <c r="A107" t="s">
        <v>114</v>
      </c>
      <c r="B107" t="s">
        <v>812</v>
      </c>
      <c r="C107" s="3">
        <v>45024</v>
      </c>
      <c r="D107" s="3">
        <v>45054</v>
      </c>
      <c r="E107">
        <v>4646.9799999999996</v>
      </c>
      <c r="F107" t="s">
        <v>814</v>
      </c>
      <c r="G107" t="s">
        <v>820</v>
      </c>
      <c r="H107" s="3">
        <v>45061</v>
      </c>
      <c r="I107" t="s">
        <v>822</v>
      </c>
      <c r="J107">
        <f t="shared" si="3"/>
        <v>7</v>
      </c>
      <c r="K107" t="str">
        <f t="shared" si="4"/>
        <v>Late</v>
      </c>
      <c r="L107">
        <f t="shared" ca="1" si="5"/>
        <v>1079</v>
      </c>
    </row>
    <row r="108" spans="1:12" x14ac:dyDescent="0.3">
      <c r="A108" t="s">
        <v>115</v>
      </c>
      <c r="B108" t="s">
        <v>813</v>
      </c>
      <c r="C108" s="3">
        <v>45552</v>
      </c>
      <c r="D108" s="3">
        <v>45582</v>
      </c>
      <c r="E108">
        <v>4202.6099999999997</v>
      </c>
      <c r="F108" t="s">
        <v>816</v>
      </c>
      <c r="G108" t="s">
        <v>819</v>
      </c>
      <c r="H108" s="3">
        <v>45591</v>
      </c>
      <c r="I108" t="s">
        <v>822</v>
      </c>
      <c r="J108">
        <f t="shared" si="3"/>
        <v>9</v>
      </c>
      <c r="K108" t="str">
        <f t="shared" si="4"/>
        <v>Pending</v>
      </c>
      <c r="L108">
        <f t="shared" ca="1" si="5"/>
        <v>551</v>
      </c>
    </row>
    <row r="109" spans="1:12" x14ac:dyDescent="0.3">
      <c r="A109" t="s">
        <v>116</v>
      </c>
      <c r="B109" t="s">
        <v>813</v>
      </c>
      <c r="C109" s="3">
        <v>45250</v>
      </c>
      <c r="D109" s="3">
        <v>45280</v>
      </c>
      <c r="E109">
        <v>1491.57</v>
      </c>
      <c r="F109" t="s">
        <v>814</v>
      </c>
      <c r="G109" t="s">
        <v>821</v>
      </c>
      <c r="H109" s="3">
        <v>45280</v>
      </c>
      <c r="I109" t="s">
        <v>822</v>
      </c>
      <c r="J109">
        <f t="shared" si="3"/>
        <v>0</v>
      </c>
      <c r="K109" t="str">
        <f t="shared" si="4"/>
        <v>On-Time</v>
      </c>
      <c r="L109">
        <f t="shared" ca="1" si="5"/>
        <v>853</v>
      </c>
    </row>
    <row r="110" spans="1:12" x14ac:dyDescent="0.3">
      <c r="A110" t="s">
        <v>117</v>
      </c>
      <c r="B110" t="s">
        <v>809</v>
      </c>
      <c r="C110" s="3">
        <v>45339</v>
      </c>
      <c r="D110" s="3">
        <v>45369</v>
      </c>
      <c r="E110">
        <v>2302.71</v>
      </c>
      <c r="F110" t="s">
        <v>817</v>
      </c>
      <c r="G110" t="s">
        <v>821</v>
      </c>
      <c r="H110" s="3">
        <v>45369</v>
      </c>
      <c r="I110" t="s">
        <v>822</v>
      </c>
      <c r="J110">
        <f t="shared" si="3"/>
        <v>0</v>
      </c>
      <c r="K110" t="str">
        <f t="shared" si="4"/>
        <v>On-Time</v>
      </c>
      <c r="L110">
        <f t="shared" ca="1" si="5"/>
        <v>764</v>
      </c>
    </row>
    <row r="111" spans="1:12" x14ac:dyDescent="0.3">
      <c r="A111" t="s">
        <v>118</v>
      </c>
      <c r="B111" t="s">
        <v>812</v>
      </c>
      <c r="C111" s="3">
        <v>45787</v>
      </c>
      <c r="D111" s="3">
        <v>45817</v>
      </c>
      <c r="E111">
        <v>222.31</v>
      </c>
      <c r="F111" t="s">
        <v>814</v>
      </c>
      <c r="G111" t="s">
        <v>820</v>
      </c>
      <c r="H111" s="3">
        <v>45821</v>
      </c>
      <c r="I111" t="s">
        <v>822</v>
      </c>
      <c r="J111">
        <f t="shared" si="3"/>
        <v>4</v>
      </c>
      <c r="K111" t="str">
        <f t="shared" si="4"/>
        <v>Late</v>
      </c>
      <c r="L111">
        <f t="shared" ca="1" si="5"/>
        <v>316</v>
      </c>
    </row>
    <row r="112" spans="1:12" x14ac:dyDescent="0.3">
      <c r="A112" t="s">
        <v>119</v>
      </c>
      <c r="B112" t="s">
        <v>812</v>
      </c>
      <c r="C112" s="3">
        <v>45621</v>
      </c>
      <c r="D112" s="3">
        <v>45651</v>
      </c>
      <c r="E112">
        <v>1191.67</v>
      </c>
      <c r="F112" t="s">
        <v>816</v>
      </c>
      <c r="G112" t="s">
        <v>819</v>
      </c>
      <c r="H112" s="3">
        <v>45652</v>
      </c>
      <c r="I112" t="s">
        <v>822</v>
      </c>
      <c r="J112">
        <f t="shared" si="3"/>
        <v>1</v>
      </c>
      <c r="K112" t="str">
        <f t="shared" si="4"/>
        <v>Pending</v>
      </c>
      <c r="L112">
        <f t="shared" ca="1" si="5"/>
        <v>482</v>
      </c>
    </row>
    <row r="113" spans="1:12" x14ac:dyDescent="0.3">
      <c r="A113" t="s">
        <v>120</v>
      </c>
      <c r="B113" t="s">
        <v>812</v>
      </c>
      <c r="C113" s="3">
        <v>45273</v>
      </c>
      <c r="D113" s="3">
        <v>45303</v>
      </c>
      <c r="E113">
        <v>3805.91</v>
      </c>
      <c r="F113" t="s">
        <v>815</v>
      </c>
      <c r="G113" t="s">
        <v>821</v>
      </c>
      <c r="H113" s="3">
        <v>45303</v>
      </c>
      <c r="I113" t="s">
        <v>822</v>
      </c>
      <c r="J113">
        <f t="shared" si="3"/>
        <v>0</v>
      </c>
      <c r="K113" t="str">
        <f t="shared" si="4"/>
        <v>On-Time</v>
      </c>
      <c r="L113">
        <f t="shared" ca="1" si="5"/>
        <v>830</v>
      </c>
    </row>
    <row r="114" spans="1:12" x14ac:dyDescent="0.3">
      <c r="A114" t="s">
        <v>121</v>
      </c>
      <c r="B114" t="s">
        <v>813</v>
      </c>
      <c r="C114" s="3">
        <v>45028</v>
      </c>
      <c r="D114" s="3">
        <v>45058</v>
      </c>
      <c r="E114">
        <v>945.2</v>
      </c>
      <c r="F114" t="s">
        <v>817</v>
      </c>
      <c r="G114" t="s">
        <v>820</v>
      </c>
      <c r="H114" s="3">
        <v>45061</v>
      </c>
      <c r="I114" t="s">
        <v>822</v>
      </c>
      <c r="J114">
        <f t="shared" si="3"/>
        <v>3</v>
      </c>
      <c r="K114" t="str">
        <f t="shared" si="4"/>
        <v>Late</v>
      </c>
      <c r="L114">
        <f t="shared" ca="1" si="5"/>
        <v>1075</v>
      </c>
    </row>
    <row r="115" spans="1:12" x14ac:dyDescent="0.3">
      <c r="A115" t="s">
        <v>122</v>
      </c>
      <c r="B115" t="s">
        <v>812</v>
      </c>
      <c r="C115" s="3">
        <v>45311</v>
      </c>
      <c r="D115" s="3">
        <v>45341</v>
      </c>
      <c r="E115">
        <v>2517.4699999999998</v>
      </c>
      <c r="F115" t="s">
        <v>815</v>
      </c>
      <c r="G115" t="s">
        <v>820</v>
      </c>
      <c r="H115" s="3">
        <v>45339</v>
      </c>
      <c r="I115" t="s">
        <v>822</v>
      </c>
      <c r="J115">
        <f t="shared" si="3"/>
        <v>-2</v>
      </c>
      <c r="K115" t="str">
        <f t="shared" si="4"/>
        <v>On-Time</v>
      </c>
      <c r="L115">
        <f t="shared" ca="1" si="5"/>
        <v>792</v>
      </c>
    </row>
    <row r="116" spans="1:12" x14ac:dyDescent="0.3">
      <c r="A116" t="s">
        <v>123</v>
      </c>
      <c r="B116" t="s">
        <v>813</v>
      </c>
      <c r="C116" s="3">
        <v>45625</v>
      </c>
      <c r="D116" s="3">
        <v>45655</v>
      </c>
      <c r="E116">
        <v>4131.71</v>
      </c>
      <c r="F116" t="s">
        <v>817</v>
      </c>
      <c r="G116" t="s">
        <v>820</v>
      </c>
      <c r="H116" s="3">
        <v>45661</v>
      </c>
      <c r="I116" t="s">
        <v>822</v>
      </c>
      <c r="J116">
        <f t="shared" si="3"/>
        <v>6</v>
      </c>
      <c r="K116" t="str">
        <f t="shared" si="4"/>
        <v>Late</v>
      </c>
      <c r="L116">
        <f t="shared" ca="1" si="5"/>
        <v>478</v>
      </c>
    </row>
    <row r="117" spans="1:12" x14ac:dyDescent="0.3">
      <c r="A117" t="s">
        <v>124</v>
      </c>
      <c r="B117" t="s">
        <v>813</v>
      </c>
      <c r="C117" s="3">
        <v>45370</v>
      </c>
      <c r="D117" s="3">
        <v>45400</v>
      </c>
      <c r="E117">
        <v>1116.42</v>
      </c>
      <c r="F117" t="s">
        <v>815</v>
      </c>
      <c r="G117" t="s">
        <v>819</v>
      </c>
      <c r="H117" s="3">
        <v>45407</v>
      </c>
      <c r="I117" t="s">
        <v>822</v>
      </c>
      <c r="J117">
        <f t="shared" si="3"/>
        <v>7</v>
      </c>
      <c r="K117" t="str">
        <f t="shared" si="4"/>
        <v>Pending</v>
      </c>
      <c r="L117">
        <f t="shared" ca="1" si="5"/>
        <v>733</v>
      </c>
    </row>
    <row r="118" spans="1:12" x14ac:dyDescent="0.3">
      <c r="A118" t="s">
        <v>125</v>
      </c>
      <c r="B118" t="s">
        <v>813</v>
      </c>
      <c r="C118" s="3">
        <v>45193</v>
      </c>
      <c r="D118" s="3">
        <v>45223</v>
      </c>
      <c r="E118">
        <v>4575.2700000000004</v>
      </c>
      <c r="F118" t="s">
        <v>815</v>
      </c>
      <c r="G118" t="s">
        <v>819</v>
      </c>
      <c r="H118" s="3">
        <v>45227</v>
      </c>
      <c r="I118" t="s">
        <v>822</v>
      </c>
      <c r="J118">
        <f t="shared" si="3"/>
        <v>4</v>
      </c>
      <c r="K118" t="str">
        <f t="shared" si="4"/>
        <v>Pending</v>
      </c>
      <c r="L118">
        <f t="shared" ca="1" si="5"/>
        <v>910</v>
      </c>
    </row>
    <row r="119" spans="1:12" x14ac:dyDescent="0.3">
      <c r="A119" t="s">
        <v>126</v>
      </c>
      <c r="B119" t="s">
        <v>813</v>
      </c>
      <c r="C119" s="3">
        <v>44973</v>
      </c>
      <c r="D119" s="3">
        <v>45003</v>
      </c>
      <c r="E119">
        <v>1514.17</v>
      </c>
      <c r="F119" t="s">
        <v>815</v>
      </c>
      <c r="G119" t="s">
        <v>819</v>
      </c>
      <c r="H119" s="3">
        <v>45011</v>
      </c>
      <c r="I119" t="s">
        <v>822</v>
      </c>
      <c r="J119">
        <f t="shared" si="3"/>
        <v>8</v>
      </c>
      <c r="K119" t="str">
        <f t="shared" si="4"/>
        <v>Pending</v>
      </c>
      <c r="L119">
        <f t="shared" ca="1" si="5"/>
        <v>1130</v>
      </c>
    </row>
    <row r="120" spans="1:12" x14ac:dyDescent="0.3">
      <c r="A120" t="s">
        <v>127</v>
      </c>
      <c r="B120" t="s">
        <v>809</v>
      </c>
      <c r="C120" s="3">
        <v>45152</v>
      </c>
      <c r="D120" s="3">
        <v>45182</v>
      </c>
      <c r="E120">
        <v>4267.03</v>
      </c>
      <c r="F120" t="s">
        <v>815</v>
      </c>
      <c r="G120" t="s">
        <v>819</v>
      </c>
      <c r="H120" s="3">
        <v>45181</v>
      </c>
      <c r="I120" t="s">
        <v>822</v>
      </c>
      <c r="J120">
        <f t="shared" si="3"/>
        <v>-1</v>
      </c>
      <c r="K120" t="str">
        <f t="shared" si="4"/>
        <v>Pending</v>
      </c>
      <c r="L120">
        <f t="shared" ca="1" si="5"/>
        <v>951</v>
      </c>
    </row>
    <row r="121" spans="1:12" x14ac:dyDescent="0.3">
      <c r="A121" t="s">
        <v>128</v>
      </c>
      <c r="B121" t="s">
        <v>810</v>
      </c>
      <c r="C121" s="3">
        <v>45685</v>
      </c>
      <c r="D121" s="3">
        <v>45715</v>
      </c>
      <c r="E121">
        <v>4482.04</v>
      </c>
      <c r="F121" t="s">
        <v>816</v>
      </c>
      <c r="G121" t="s">
        <v>820</v>
      </c>
      <c r="H121" s="3">
        <v>45716</v>
      </c>
      <c r="I121" t="s">
        <v>822</v>
      </c>
      <c r="J121">
        <f t="shared" si="3"/>
        <v>1</v>
      </c>
      <c r="K121" t="str">
        <f t="shared" si="4"/>
        <v>Late</v>
      </c>
      <c r="L121">
        <f t="shared" ca="1" si="5"/>
        <v>418</v>
      </c>
    </row>
    <row r="122" spans="1:12" x14ac:dyDescent="0.3">
      <c r="A122" t="s">
        <v>129</v>
      </c>
      <c r="B122" t="s">
        <v>813</v>
      </c>
      <c r="C122" s="3">
        <v>45412</v>
      </c>
      <c r="D122" s="3">
        <v>45442</v>
      </c>
      <c r="E122">
        <v>1407.76</v>
      </c>
      <c r="F122" t="s">
        <v>816</v>
      </c>
      <c r="G122" t="s">
        <v>821</v>
      </c>
      <c r="H122" s="3">
        <v>45442</v>
      </c>
      <c r="I122" t="s">
        <v>822</v>
      </c>
      <c r="J122">
        <f t="shared" si="3"/>
        <v>0</v>
      </c>
      <c r="K122" t="str">
        <f t="shared" si="4"/>
        <v>On-Time</v>
      </c>
      <c r="L122">
        <f t="shared" ca="1" si="5"/>
        <v>691</v>
      </c>
    </row>
    <row r="123" spans="1:12" x14ac:dyDescent="0.3">
      <c r="A123" t="s">
        <v>130</v>
      </c>
      <c r="B123" t="s">
        <v>811</v>
      </c>
      <c r="C123" s="3">
        <v>45253</v>
      </c>
      <c r="D123" s="3">
        <v>45283</v>
      </c>
      <c r="E123">
        <v>2739.91</v>
      </c>
      <c r="F123" t="s">
        <v>814</v>
      </c>
      <c r="G123" t="s">
        <v>819</v>
      </c>
      <c r="H123" s="3">
        <v>45285</v>
      </c>
      <c r="I123" t="s">
        <v>822</v>
      </c>
      <c r="J123">
        <f t="shared" si="3"/>
        <v>2</v>
      </c>
      <c r="K123" t="str">
        <f t="shared" si="4"/>
        <v>Pending</v>
      </c>
      <c r="L123">
        <f t="shared" ca="1" si="5"/>
        <v>850</v>
      </c>
    </row>
    <row r="124" spans="1:12" x14ac:dyDescent="0.3">
      <c r="A124" t="s">
        <v>131</v>
      </c>
      <c r="B124" t="s">
        <v>809</v>
      </c>
      <c r="C124" s="3">
        <v>45729</v>
      </c>
      <c r="D124" s="3">
        <v>45759</v>
      </c>
      <c r="E124">
        <v>2094.14</v>
      </c>
      <c r="F124" t="s">
        <v>816</v>
      </c>
      <c r="G124" t="s">
        <v>820</v>
      </c>
      <c r="H124" s="3">
        <v>45763</v>
      </c>
      <c r="I124" t="s">
        <v>822</v>
      </c>
      <c r="J124">
        <f t="shared" si="3"/>
        <v>4</v>
      </c>
      <c r="K124" t="str">
        <f t="shared" si="4"/>
        <v>Late</v>
      </c>
      <c r="L124">
        <f t="shared" ca="1" si="5"/>
        <v>374</v>
      </c>
    </row>
    <row r="125" spans="1:12" x14ac:dyDescent="0.3">
      <c r="A125" t="s">
        <v>132</v>
      </c>
      <c r="B125" t="s">
        <v>813</v>
      </c>
      <c r="C125" s="3">
        <v>45647</v>
      </c>
      <c r="D125" s="3">
        <v>45677</v>
      </c>
      <c r="E125">
        <v>1636.17</v>
      </c>
      <c r="F125" t="s">
        <v>816</v>
      </c>
      <c r="G125" t="s">
        <v>819</v>
      </c>
      <c r="H125" s="3">
        <v>45675</v>
      </c>
      <c r="I125" t="s">
        <v>822</v>
      </c>
      <c r="J125">
        <f t="shared" si="3"/>
        <v>-2</v>
      </c>
      <c r="K125" t="str">
        <f t="shared" si="4"/>
        <v>Pending</v>
      </c>
      <c r="L125">
        <f t="shared" ca="1" si="5"/>
        <v>456</v>
      </c>
    </row>
    <row r="126" spans="1:12" x14ac:dyDescent="0.3">
      <c r="A126" t="s">
        <v>133</v>
      </c>
      <c r="B126" t="s">
        <v>810</v>
      </c>
      <c r="C126" s="3">
        <v>45204</v>
      </c>
      <c r="D126" s="3">
        <v>45234</v>
      </c>
      <c r="E126">
        <v>1052.47</v>
      </c>
      <c r="F126" t="s">
        <v>818</v>
      </c>
      <c r="G126" t="s">
        <v>820</v>
      </c>
      <c r="H126" s="3">
        <v>45235</v>
      </c>
      <c r="I126" t="s">
        <v>822</v>
      </c>
      <c r="J126">
        <f t="shared" si="3"/>
        <v>1</v>
      </c>
      <c r="K126" t="str">
        <f t="shared" si="4"/>
        <v>Late</v>
      </c>
      <c r="L126">
        <f t="shared" ca="1" si="5"/>
        <v>899</v>
      </c>
    </row>
    <row r="127" spans="1:12" x14ac:dyDescent="0.3">
      <c r="A127" t="s">
        <v>134</v>
      </c>
      <c r="B127" t="s">
        <v>810</v>
      </c>
      <c r="C127" s="3">
        <v>45186</v>
      </c>
      <c r="D127" s="3">
        <v>45216</v>
      </c>
      <c r="E127">
        <v>4195.09</v>
      </c>
      <c r="F127" t="s">
        <v>818</v>
      </c>
      <c r="G127" t="s">
        <v>819</v>
      </c>
      <c r="H127" s="3">
        <v>45213</v>
      </c>
      <c r="I127" t="s">
        <v>822</v>
      </c>
      <c r="J127">
        <f t="shared" si="3"/>
        <v>-3</v>
      </c>
      <c r="K127" t="str">
        <f t="shared" si="4"/>
        <v>Pending</v>
      </c>
      <c r="L127">
        <f t="shared" ca="1" si="5"/>
        <v>917</v>
      </c>
    </row>
    <row r="128" spans="1:12" x14ac:dyDescent="0.3">
      <c r="A128" t="s">
        <v>135</v>
      </c>
      <c r="B128" t="s">
        <v>811</v>
      </c>
      <c r="C128" s="3">
        <v>44940</v>
      </c>
      <c r="D128" s="3">
        <v>44970</v>
      </c>
      <c r="E128">
        <v>2545.81</v>
      </c>
      <c r="F128" t="s">
        <v>817</v>
      </c>
      <c r="G128" t="s">
        <v>820</v>
      </c>
      <c r="H128" s="3">
        <v>44972</v>
      </c>
      <c r="I128" t="s">
        <v>822</v>
      </c>
      <c r="J128">
        <f t="shared" si="3"/>
        <v>2</v>
      </c>
      <c r="K128" t="str">
        <f t="shared" si="4"/>
        <v>Late</v>
      </c>
      <c r="L128">
        <f t="shared" ca="1" si="5"/>
        <v>1163</v>
      </c>
    </row>
    <row r="129" spans="1:12" x14ac:dyDescent="0.3">
      <c r="A129" t="s">
        <v>136</v>
      </c>
      <c r="B129" t="s">
        <v>812</v>
      </c>
      <c r="C129" s="3">
        <v>45396</v>
      </c>
      <c r="D129" s="3">
        <v>45426</v>
      </c>
      <c r="E129">
        <v>993.34</v>
      </c>
      <c r="F129" t="s">
        <v>818</v>
      </c>
      <c r="G129" t="s">
        <v>820</v>
      </c>
      <c r="H129" s="3">
        <v>45425</v>
      </c>
      <c r="I129" t="s">
        <v>822</v>
      </c>
      <c r="J129">
        <f t="shared" si="3"/>
        <v>-1</v>
      </c>
      <c r="K129" t="str">
        <f t="shared" si="4"/>
        <v>On-Time</v>
      </c>
      <c r="L129">
        <f t="shared" ca="1" si="5"/>
        <v>707</v>
      </c>
    </row>
    <row r="130" spans="1:12" x14ac:dyDescent="0.3">
      <c r="A130" t="s">
        <v>137</v>
      </c>
      <c r="B130" t="s">
        <v>812</v>
      </c>
      <c r="C130" s="3">
        <v>45091</v>
      </c>
      <c r="D130" s="3">
        <v>45121</v>
      </c>
      <c r="E130">
        <v>834.51</v>
      </c>
      <c r="F130" t="s">
        <v>816</v>
      </c>
      <c r="G130" t="s">
        <v>820</v>
      </c>
      <c r="H130" s="3">
        <v>45119</v>
      </c>
      <c r="I130" t="s">
        <v>822</v>
      </c>
      <c r="J130">
        <f t="shared" si="3"/>
        <v>-2</v>
      </c>
      <c r="K130" t="str">
        <f t="shared" si="4"/>
        <v>On-Time</v>
      </c>
      <c r="L130">
        <f t="shared" ca="1" si="5"/>
        <v>1012</v>
      </c>
    </row>
    <row r="131" spans="1:12" x14ac:dyDescent="0.3">
      <c r="A131" t="s">
        <v>138</v>
      </c>
      <c r="B131" t="s">
        <v>812</v>
      </c>
      <c r="C131" s="3">
        <v>45286</v>
      </c>
      <c r="D131" s="3">
        <v>45316</v>
      </c>
      <c r="E131">
        <v>2107.58</v>
      </c>
      <c r="F131" t="s">
        <v>817</v>
      </c>
      <c r="G131" t="s">
        <v>820</v>
      </c>
      <c r="H131" s="3">
        <v>45326</v>
      </c>
      <c r="I131" t="s">
        <v>822</v>
      </c>
      <c r="J131">
        <f t="shared" ref="J131:J194" si="6">IF(H131="",0,H131-D131)</f>
        <v>10</v>
      </c>
      <c r="K131" t="str">
        <f t="shared" ref="K131:K194" si="7">IF(G131="Open","Pending",IF(H131&lt;=D131,"On-Time","Late"))</f>
        <v>Late</v>
      </c>
      <c r="L131">
        <f t="shared" ref="L131:L194" ca="1" si="8">TODAY()-C131</f>
        <v>817</v>
      </c>
    </row>
    <row r="132" spans="1:12" x14ac:dyDescent="0.3">
      <c r="A132" t="s">
        <v>139</v>
      </c>
      <c r="B132" t="s">
        <v>813</v>
      </c>
      <c r="C132" s="3">
        <v>45782</v>
      </c>
      <c r="D132" s="3">
        <v>45812</v>
      </c>
      <c r="E132">
        <v>1874.69</v>
      </c>
      <c r="F132" t="s">
        <v>817</v>
      </c>
      <c r="G132" t="s">
        <v>819</v>
      </c>
      <c r="H132" s="3">
        <v>45814</v>
      </c>
      <c r="I132" t="s">
        <v>822</v>
      </c>
      <c r="J132">
        <f t="shared" si="6"/>
        <v>2</v>
      </c>
      <c r="K132" t="str">
        <f t="shared" si="7"/>
        <v>Pending</v>
      </c>
      <c r="L132">
        <f t="shared" ca="1" si="8"/>
        <v>321</v>
      </c>
    </row>
    <row r="133" spans="1:12" x14ac:dyDescent="0.3">
      <c r="A133" t="s">
        <v>140</v>
      </c>
      <c r="B133" t="s">
        <v>812</v>
      </c>
      <c r="C133" s="3">
        <v>45471</v>
      </c>
      <c r="D133" s="3">
        <v>45501</v>
      </c>
      <c r="E133">
        <v>4388.51</v>
      </c>
      <c r="F133" t="s">
        <v>814</v>
      </c>
      <c r="G133" t="s">
        <v>821</v>
      </c>
      <c r="H133" s="3">
        <v>45501</v>
      </c>
      <c r="I133" t="s">
        <v>822</v>
      </c>
      <c r="J133">
        <f t="shared" si="6"/>
        <v>0</v>
      </c>
      <c r="K133" t="str">
        <f t="shared" si="7"/>
        <v>On-Time</v>
      </c>
      <c r="L133">
        <f t="shared" ca="1" si="8"/>
        <v>632</v>
      </c>
    </row>
    <row r="134" spans="1:12" x14ac:dyDescent="0.3">
      <c r="A134" t="s">
        <v>141</v>
      </c>
      <c r="B134" t="s">
        <v>810</v>
      </c>
      <c r="C134" s="3">
        <v>45365</v>
      </c>
      <c r="D134" s="3">
        <v>45395</v>
      </c>
      <c r="E134">
        <v>125.24</v>
      </c>
      <c r="F134" t="s">
        <v>815</v>
      </c>
      <c r="G134" t="s">
        <v>820</v>
      </c>
      <c r="H134" s="3">
        <v>45404</v>
      </c>
      <c r="I134" t="s">
        <v>822</v>
      </c>
      <c r="J134">
        <f t="shared" si="6"/>
        <v>9</v>
      </c>
      <c r="K134" t="str">
        <f t="shared" si="7"/>
        <v>Late</v>
      </c>
      <c r="L134">
        <f t="shared" ca="1" si="8"/>
        <v>738</v>
      </c>
    </row>
    <row r="135" spans="1:12" x14ac:dyDescent="0.3">
      <c r="A135" t="s">
        <v>142</v>
      </c>
      <c r="B135" t="s">
        <v>811</v>
      </c>
      <c r="C135" s="3">
        <v>45392</v>
      </c>
      <c r="D135" s="3">
        <v>45422</v>
      </c>
      <c r="E135">
        <v>1249.8900000000001</v>
      </c>
      <c r="F135" t="s">
        <v>818</v>
      </c>
      <c r="G135" t="s">
        <v>819</v>
      </c>
      <c r="H135" s="3">
        <v>45424</v>
      </c>
      <c r="I135" t="s">
        <v>822</v>
      </c>
      <c r="J135">
        <f t="shared" si="6"/>
        <v>2</v>
      </c>
      <c r="K135" t="str">
        <f t="shared" si="7"/>
        <v>Pending</v>
      </c>
      <c r="L135">
        <f t="shared" ca="1" si="8"/>
        <v>711</v>
      </c>
    </row>
    <row r="136" spans="1:12" x14ac:dyDescent="0.3">
      <c r="A136" t="s">
        <v>143</v>
      </c>
      <c r="B136" t="s">
        <v>811</v>
      </c>
      <c r="C136" s="3">
        <v>45631</v>
      </c>
      <c r="D136" s="3">
        <v>45661</v>
      </c>
      <c r="E136">
        <v>4937.78</v>
      </c>
      <c r="F136" t="s">
        <v>814</v>
      </c>
      <c r="G136" t="s">
        <v>819</v>
      </c>
      <c r="H136" s="3">
        <v>45666</v>
      </c>
      <c r="I136" t="s">
        <v>822</v>
      </c>
      <c r="J136">
        <f t="shared" si="6"/>
        <v>5</v>
      </c>
      <c r="K136" t="str">
        <f t="shared" si="7"/>
        <v>Pending</v>
      </c>
      <c r="L136">
        <f t="shared" ca="1" si="8"/>
        <v>472</v>
      </c>
    </row>
    <row r="137" spans="1:12" x14ac:dyDescent="0.3">
      <c r="A137" t="s">
        <v>144</v>
      </c>
      <c r="B137" t="s">
        <v>809</v>
      </c>
      <c r="C137" s="3">
        <v>45381</v>
      </c>
      <c r="D137" s="3">
        <v>45411</v>
      </c>
      <c r="E137">
        <v>2379.1799999999998</v>
      </c>
      <c r="F137" t="s">
        <v>818</v>
      </c>
      <c r="G137" t="s">
        <v>821</v>
      </c>
      <c r="H137" s="3">
        <v>45411</v>
      </c>
      <c r="I137" t="s">
        <v>822</v>
      </c>
      <c r="J137">
        <f t="shared" si="6"/>
        <v>0</v>
      </c>
      <c r="K137" t="str">
        <f t="shared" si="7"/>
        <v>On-Time</v>
      </c>
      <c r="L137">
        <f t="shared" ca="1" si="8"/>
        <v>722</v>
      </c>
    </row>
    <row r="138" spans="1:12" x14ac:dyDescent="0.3">
      <c r="A138" t="s">
        <v>145</v>
      </c>
      <c r="B138" t="s">
        <v>809</v>
      </c>
      <c r="C138" s="3">
        <v>45265</v>
      </c>
      <c r="D138" s="3">
        <v>45295</v>
      </c>
      <c r="E138">
        <v>4032.55</v>
      </c>
      <c r="F138" t="s">
        <v>815</v>
      </c>
      <c r="G138" t="s">
        <v>821</v>
      </c>
      <c r="H138" s="3">
        <v>45295</v>
      </c>
      <c r="I138" t="s">
        <v>822</v>
      </c>
      <c r="J138">
        <f t="shared" si="6"/>
        <v>0</v>
      </c>
      <c r="K138" t="str">
        <f t="shared" si="7"/>
        <v>On-Time</v>
      </c>
      <c r="L138">
        <f t="shared" ca="1" si="8"/>
        <v>838</v>
      </c>
    </row>
    <row r="139" spans="1:12" x14ac:dyDescent="0.3">
      <c r="A139" t="s">
        <v>146</v>
      </c>
      <c r="B139" t="s">
        <v>813</v>
      </c>
      <c r="C139" s="3">
        <v>45494</v>
      </c>
      <c r="D139" s="3">
        <v>45524</v>
      </c>
      <c r="E139">
        <v>3922.59</v>
      </c>
      <c r="F139" t="s">
        <v>818</v>
      </c>
      <c r="G139" t="s">
        <v>821</v>
      </c>
      <c r="H139" s="3">
        <v>45524</v>
      </c>
      <c r="I139" t="s">
        <v>822</v>
      </c>
      <c r="J139">
        <f t="shared" si="6"/>
        <v>0</v>
      </c>
      <c r="K139" t="str">
        <f t="shared" si="7"/>
        <v>On-Time</v>
      </c>
      <c r="L139">
        <f t="shared" ca="1" si="8"/>
        <v>609</v>
      </c>
    </row>
    <row r="140" spans="1:12" x14ac:dyDescent="0.3">
      <c r="A140" t="s">
        <v>147</v>
      </c>
      <c r="B140" t="s">
        <v>813</v>
      </c>
      <c r="C140" s="3">
        <v>45174</v>
      </c>
      <c r="D140" s="3">
        <v>45204</v>
      </c>
      <c r="E140">
        <v>3377.42</v>
      </c>
      <c r="F140" t="s">
        <v>816</v>
      </c>
      <c r="G140" t="s">
        <v>821</v>
      </c>
      <c r="H140" s="3">
        <v>45204</v>
      </c>
      <c r="I140" t="s">
        <v>822</v>
      </c>
      <c r="J140">
        <f t="shared" si="6"/>
        <v>0</v>
      </c>
      <c r="K140" t="str">
        <f t="shared" si="7"/>
        <v>On-Time</v>
      </c>
      <c r="L140">
        <f t="shared" ca="1" si="8"/>
        <v>929</v>
      </c>
    </row>
    <row r="141" spans="1:12" x14ac:dyDescent="0.3">
      <c r="A141" t="s">
        <v>148</v>
      </c>
      <c r="B141" t="s">
        <v>812</v>
      </c>
      <c r="C141" s="3">
        <v>45638</v>
      </c>
      <c r="D141" s="3">
        <v>45668</v>
      </c>
      <c r="E141">
        <v>3927.21</v>
      </c>
      <c r="F141" t="s">
        <v>814</v>
      </c>
      <c r="G141" t="s">
        <v>820</v>
      </c>
      <c r="H141" s="3">
        <v>45666</v>
      </c>
      <c r="I141" t="s">
        <v>822</v>
      </c>
      <c r="J141">
        <f t="shared" si="6"/>
        <v>-2</v>
      </c>
      <c r="K141" t="str">
        <f t="shared" si="7"/>
        <v>On-Time</v>
      </c>
      <c r="L141">
        <f t="shared" ca="1" si="8"/>
        <v>465</v>
      </c>
    </row>
    <row r="142" spans="1:12" x14ac:dyDescent="0.3">
      <c r="A142" t="s">
        <v>149</v>
      </c>
      <c r="B142" t="s">
        <v>812</v>
      </c>
      <c r="C142" s="3">
        <v>45400</v>
      </c>
      <c r="D142" s="3">
        <v>45430</v>
      </c>
      <c r="E142">
        <v>4292.3500000000004</v>
      </c>
      <c r="F142" t="s">
        <v>815</v>
      </c>
      <c r="G142" t="s">
        <v>819</v>
      </c>
      <c r="H142" s="3">
        <v>45438</v>
      </c>
      <c r="I142" t="s">
        <v>822</v>
      </c>
      <c r="J142">
        <f t="shared" si="6"/>
        <v>8</v>
      </c>
      <c r="K142" t="str">
        <f t="shared" si="7"/>
        <v>Pending</v>
      </c>
      <c r="L142">
        <f t="shared" ca="1" si="8"/>
        <v>703</v>
      </c>
    </row>
    <row r="143" spans="1:12" x14ac:dyDescent="0.3">
      <c r="A143" t="s">
        <v>150</v>
      </c>
      <c r="B143" t="s">
        <v>810</v>
      </c>
      <c r="C143" s="3">
        <v>45827</v>
      </c>
      <c r="D143" s="3">
        <v>45857</v>
      </c>
      <c r="E143">
        <v>3350.66</v>
      </c>
      <c r="F143" t="s">
        <v>817</v>
      </c>
      <c r="G143" t="s">
        <v>820</v>
      </c>
      <c r="H143" s="3">
        <v>45860</v>
      </c>
      <c r="I143" t="s">
        <v>822</v>
      </c>
      <c r="J143">
        <f t="shared" si="6"/>
        <v>3</v>
      </c>
      <c r="K143" t="str">
        <f t="shared" si="7"/>
        <v>Late</v>
      </c>
      <c r="L143">
        <f t="shared" ca="1" si="8"/>
        <v>276</v>
      </c>
    </row>
    <row r="144" spans="1:12" x14ac:dyDescent="0.3">
      <c r="A144" t="s">
        <v>151</v>
      </c>
      <c r="B144" t="s">
        <v>813</v>
      </c>
      <c r="C144" s="3">
        <v>45074</v>
      </c>
      <c r="D144" s="3">
        <v>45104</v>
      </c>
      <c r="E144">
        <v>4762.47</v>
      </c>
      <c r="F144" t="s">
        <v>817</v>
      </c>
      <c r="G144" t="s">
        <v>820</v>
      </c>
      <c r="H144" s="3">
        <v>45112</v>
      </c>
      <c r="I144" t="s">
        <v>822</v>
      </c>
      <c r="J144">
        <f t="shared" si="6"/>
        <v>8</v>
      </c>
      <c r="K144" t="str">
        <f t="shared" si="7"/>
        <v>Late</v>
      </c>
      <c r="L144">
        <f t="shared" ca="1" si="8"/>
        <v>1029</v>
      </c>
    </row>
    <row r="145" spans="1:12" x14ac:dyDescent="0.3">
      <c r="A145" t="s">
        <v>152</v>
      </c>
      <c r="B145" t="s">
        <v>813</v>
      </c>
      <c r="C145" s="3">
        <v>45139</v>
      </c>
      <c r="D145" s="3">
        <v>45169</v>
      </c>
      <c r="E145">
        <v>1589.97</v>
      </c>
      <c r="F145" t="s">
        <v>818</v>
      </c>
      <c r="G145" t="s">
        <v>819</v>
      </c>
      <c r="H145" s="3">
        <v>45176</v>
      </c>
      <c r="I145" t="s">
        <v>822</v>
      </c>
      <c r="J145">
        <f t="shared" si="6"/>
        <v>7</v>
      </c>
      <c r="K145" t="str">
        <f t="shared" si="7"/>
        <v>Pending</v>
      </c>
      <c r="L145">
        <f t="shared" ca="1" si="8"/>
        <v>964</v>
      </c>
    </row>
    <row r="146" spans="1:12" x14ac:dyDescent="0.3">
      <c r="A146" t="s">
        <v>153</v>
      </c>
      <c r="B146" t="s">
        <v>811</v>
      </c>
      <c r="C146" s="3">
        <v>45467</v>
      </c>
      <c r="D146" s="3">
        <v>45497</v>
      </c>
      <c r="E146">
        <v>2206.4</v>
      </c>
      <c r="F146" t="s">
        <v>816</v>
      </c>
      <c r="G146" t="s">
        <v>820</v>
      </c>
      <c r="H146" s="3">
        <v>45494</v>
      </c>
      <c r="I146" t="s">
        <v>822</v>
      </c>
      <c r="J146">
        <f t="shared" si="6"/>
        <v>-3</v>
      </c>
      <c r="K146" t="str">
        <f t="shared" si="7"/>
        <v>On-Time</v>
      </c>
      <c r="L146">
        <f t="shared" ca="1" si="8"/>
        <v>636</v>
      </c>
    </row>
    <row r="147" spans="1:12" x14ac:dyDescent="0.3">
      <c r="A147" t="s">
        <v>154</v>
      </c>
      <c r="B147" t="s">
        <v>812</v>
      </c>
      <c r="C147" s="3">
        <v>45258</v>
      </c>
      <c r="D147" s="3">
        <v>45288</v>
      </c>
      <c r="E147">
        <v>2642.46</v>
      </c>
      <c r="F147" t="s">
        <v>816</v>
      </c>
      <c r="G147" t="s">
        <v>821</v>
      </c>
      <c r="H147" s="3">
        <v>45288</v>
      </c>
      <c r="I147" t="s">
        <v>822</v>
      </c>
      <c r="J147">
        <f t="shared" si="6"/>
        <v>0</v>
      </c>
      <c r="K147" t="str">
        <f t="shared" si="7"/>
        <v>On-Time</v>
      </c>
      <c r="L147">
        <f t="shared" ca="1" si="8"/>
        <v>845</v>
      </c>
    </row>
    <row r="148" spans="1:12" x14ac:dyDescent="0.3">
      <c r="A148" t="s">
        <v>155</v>
      </c>
      <c r="B148" t="s">
        <v>813</v>
      </c>
      <c r="C148" s="3">
        <v>45392</v>
      </c>
      <c r="D148" s="3">
        <v>45422</v>
      </c>
      <c r="E148">
        <v>2413.9</v>
      </c>
      <c r="F148" t="s">
        <v>815</v>
      </c>
      <c r="G148" t="s">
        <v>820</v>
      </c>
      <c r="H148" s="3">
        <v>45431</v>
      </c>
      <c r="I148" t="s">
        <v>822</v>
      </c>
      <c r="J148">
        <f t="shared" si="6"/>
        <v>9</v>
      </c>
      <c r="K148" t="str">
        <f t="shared" si="7"/>
        <v>Late</v>
      </c>
      <c r="L148">
        <f t="shared" ca="1" si="8"/>
        <v>711</v>
      </c>
    </row>
    <row r="149" spans="1:12" x14ac:dyDescent="0.3">
      <c r="A149" t="s">
        <v>156</v>
      </c>
      <c r="B149" t="s">
        <v>812</v>
      </c>
      <c r="C149" s="3">
        <v>45154</v>
      </c>
      <c r="D149" s="3">
        <v>45184</v>
      </c>
      <c r="E149">
        <v>2803.47</v>
      </c>
      <c r="F149" t="s">
        <v>817</v>
      </c>
      <c r="G149" t="s">
        <v>820</v>
      </c>
      <c r="H149" s="3">
        <v>45184</v>
      </c>
      <c r="I149" t="s">
        <v>822</v>
      </c>
      <c r="J149">
        <f t="shared" si="6"/>
        <v>0</v>
      </c>
      <c r="K149" t="str">
        <f t="shared" si="7"/>
        <v>On-Time</v>
      </c>
      <c r="L149">
        <f t="shared" ca="1" si="8"/>
        <v>949</v>
      </c>
    </row>
    <row r="150" spans="1:12" x14ac:dyDescent="0.3">
      <c r="A150" t="s">
        <v>157</v>
      </c>
      <c r="B150" t="s">
        <v>810</v>
      </c>
      <c r="C150" s="3">
        <v>45199</v>
      </c>
      <c r="D150" s="3">
        <v>45229</v>
      </c>
      <c r="E150">
        <v>3709.9</v>
      </c>
      <c r="F150" t="s">
        <v>814</v>
      </c>
      <c r="G150" t="s">
        <v>820</v>
      </c>
      <c r="H150" s="3">
        <v>45226</v>
      </c>
      <c r="I150" t="s">
        <v>822</v>
      </c>
      <c r="J150">
        <f t="shared" si="6"/>
        <v>-3</v>
      </c>
      <c r="K150" t="str">
        <f t="shared" si="7"/>
        <v>On-Time</v>
      </c>
      <c r="L150">
        <f t="shared" ca="1" si="8"/>
        <v>904</v>
      </c>
    </row>
    <row r="151" spans="1:12" x14ac:dyDescent="0.3">
      <c r="A151" t="s">
        <v>158</v>
      </c>
      <c r="B151" t="s">
        <v>811</v>
      </c>
      <c r="C151" s="3">
        <v>45456</v>
      </c>
      <c r="D151" s="3">
        <v>45486</v>
      </c>
      <c r="E151">
        <v>4721.1499999999996</v>
      </c>
      <c r="F151" t="s">
        <v>818</v>
      </c>
      <c r="G151" t="s">
        <v>821</v>
      </c>
      <c r="H151" s="3">
        <v>45486</v>
      </c>
      <c r="I151" t="s">
        <v>822</v>
      </c>
      <c r="J151">
        <f t="shared" si="6"/>
        <v>0</v>
      </c>
      <c r="K151" t="str">
        <f t="shared" si="7"/>
        <v>On-Time</v>
      </c>
      <c r="L151">
        <f t="shared" ca="1" si="8"/>
        <v>647</v>
      </c>
    </row>
    <row r="152" spans="1:12" x14ac:dyDescent="0.3">
      <c r="A152" t="s">
        <v>159</v>
      </c>
      <c r="B152" t="s">
        <v>813</v>
      </c>
      <c r="C152" s="3">
        <v>45144</v>
      </c>
      <c r="D152" s="3">
        <v>45174</v>
      </c>
      <c r="E152">
        <v>1555.44</v>
      </c>
      <c r="F152" t="s">
        <v>817</v>
      </c>
      <c r="G152" t="s">
        <v>820</v>
      </c>
      <c r="H152" s="3">
        <v>45172</v>
      </c>
      <c r="I152" t="s">
        <v>822</v>
      </c>
      <c r="J152">
        <f t="shared" si="6"/>
        <v>-2</v>
      </c>
      <c r="K152" t="str">
        <f t="shared" si="7"/>
        <v>On-Time</v>
      </c>
      <c r="L152">
        <f t="shared" ca="1" si="8"/>
        <v>959</v>
      </c>
    </row>
    <row r="153" spans="1:12" x14ac:dyDescent="0.3">
      <c r="A153" t="s">
        <v>160</v>
      </c>
      <c r="B153" t="s">
        <v>811</v>
      </c>
      <c r="C153" s="3">
        <v>45390</v>
      </c>
      <c r="D153" s="3">
        <v>45420</v>
      </c>
      <c r="E153">
        <v>2731.15</v>
      </c>
      <c r="F153" t="s">
        <v>817</v>
      </c>
      <c r="G153" t="s">
        <v>821</v>
      </c>
      <c r="H153" s="3">
        <v>45420</v>
      </c>
      <c r="I153" t="s">
        <v>822</v>
      </c>
      <c r="J153">
        <f t="shared" si="6"/>
        <v>0</v>
      </c>
      <c r="K153" t="str">
        <f t="shared" si="7"/>
        <v>On-Time</v>
      </c>
      <c r="L153">
        <f t="shared" ca="1" si="8"/>
        <v>713</v>
      </c>
    </row>
    <row r="154" spans="1:12" x14ac:dyDescent="0.3">
      <c r="A154" t="s">
        <v>161</v>
      </c>
      <c r="B154" t="s">
        <v>809</v>
      </c>
      <c r="C154" s="3">
        <v>45622</v>
      </c>
      <c r="D154" s="3">
        <v>45652</v>
      </c>
      <c r="E154">
        <v>3600.41</v>
      </c>
      <c r="F154" t="s">
        <v>815</v>
      </c>
      <c r="G154" t="s">
        <v>820</v>
      </c>
      <c r="H154" s="3">
        <v>45662</v>
      </c>
      <c r="I154" t="s">
        <v>822</v>
      </c>
      <c r="J154">
        <f t="shared" si="6"/>
        <v>10</v>
      </c>
      <c r="K154" t="str">
        <f t="shared" si="7"/>
        <v>Late</v>
      </c>
      <c r="L154">
        <f t="shared" ca="1" si="8"/>
        <v>481</v>
      </c>
    </row>
    <row r="155" spans="1:12" x14ac:dyDescent="0.3">
      <c r="A155" t="s">
        <v>162</v>
      </c>
      <c r="B155" t="s">
        <v>809</v>
      </c>
      <c r="C155" s="3">
        <v>44990</v>
      </c>
      <c r="D155" s="3">
        <v>45020</v>
      </c>
      <c r="E155">
        <v>1532.1</v>
      </c>
      <c r="F155" t="s">
        <v>814</v>
      </c>
      <c r="G155" t="s">
        <v>821</v>
      </c>
      <c r="H155" s="3">
        <v>45020</v>
      </c>
      <c r="I155" t="s">
        <v>822</v>
      </c>
      <c r="J155">
        <f t="shared" si="6"/>
        <v>0</v>
      </c>
      <c r="K155" t="str">
        <f t="shared" si="7"/>
        <v>On-Time</v>
      </c>
      <c r="L155">
        <f t="shared" ca="1" si="8"/>
        <v>1113</v>
      </c>
    </row>
    <row r="156" spans="1:12" x14ac:dyDescent="0.3">
      <c r="A156" t="s">
        <v>163</v>
      </c>
      <c r="B156" t="s">
        <v>810</v>
      </c>
      <c r="C156" s="3">
        <v>45475</v>
      </c>
      <c r="D156" s="3">
        <v>45505</v>
      </c>
      <c r="E156">
        <v>3671.9</v>
      </c>
      <c r="F156" t="s">
        <v>817</v>
      </c>
      <c r="G156" t="s">
        <v>819</v>
      </c>
      <c r="H156" s="3">
        <v>45505</v>
      </c>
      <c r="I156" t="s">
        <v>822</v>
      </c>
      <c r="J156">
        <f t="shared" si="6"/>
        <v>0</v>
      </c>
      <c r="K156" t="str">
        <f t="shared" si="7"/>
        <v>Pending</v>
      </c>
      <c r="L156">
        <f t="shared" ca="1" si="8"/>
        <v>628</v>
      </c>
    </row>
    <row r="157" spans="1:12" x14ac:dyDescent="0.3">
      <c r="A157" t="s">
        <v>164</v>
      </c>
      <c r="B157" t="s">
        <v>811</v>
      </c>
      <c r="C157" s="3">
        <v>45345</v>
      </c>
      <c r="D157" s="3">
        <v>45375</v>
      </c>
      <c r="E157">
        <v>249.12</v>
      </c>
      <c r="F157" t="s">
        <v>817</v>
      </c>
      <c r="G157" t="s">
        <v>819</v>
      </c>
      <c r="H157" s="3">
        <v>45372</v>
      </c>
      <c r="I157" t="s">
        <v>822</v>
      </c>
      <c r="J157">
        <f t="shared" si="6"/>
        <v>-3</v>
      </c>
      <c r="K157" t="str">
        <f t="shared" si="7"/>
        <v>Pending</v>
      </c>
      <c r="L157">
        <f t="shared" ca="1" si="8"/>
        <v>758</v>
      </c>
    </row>
    <row r="158" spans="1:12" x14ac:dyDescent="0.3">
      <c r="A158" t="s">
        <v>165</v>
      </c>
      <c r="B158" t="s">
        <v>812</v>
      </c>
      <c r="C158" s="3">
        <v>45567</v>
      </c>
      <c r="D158" s="3">
        <v>45597</v>
      </c>
      <c r="E158">
        <v>1247.49</v>
      </c>
      <c r="F158" t="s">
        <v>814</v>
      </c>
      <c r="G158" t="s">
        <v>820</v>
      </c>
      <c r="H158" s="3">
        <v>45597</v>
      </c>
      <c r="I158" t="s">
        <v>822</v>
      </c>
      <c r="J158">
        <f t="shared" si="6"/>
        <v>0</v>
      </c>
      <c r="K158" t="str">
        <f t="shared" si="7"/>
        <v>On-Time</v>
      </c>
      <c r="L158">
        <f t="shared" ca="1" si="8"/>
        <v>536</v>
      </c>
    </row>
    <row r="159" spans="1:12" x14ac:dyDescent="0.3">
      <c r="A159" t="s">
        <v>166</v>
      </c>
      <c r="B159" t="s">
        <v>812</v>
      </c>
      <c r="C159" s="3">
        <v>45081</v>
      </c>
      <c r="D159" s="3">
        <v>45111</v>
      </c>
      <c r="E159">
        <v>4374.63</v>
      </c>
      <c r="F159" t="s">
        <v>817</v>
      </c>
      <c r="G159" t="s">
        <v>820</v>
      </c>
      <c r="H159" s="3">
        <v>45118</v>
      </c>
      <c r="I159" t="s">
        <v>822</v>
      </c>
      <c r="J159">
        <f t="shared" si="6"/>
        <v>7</v>
      </c>
      <c r="K159" t="str">
        <f t="shared" si="7"/>
        <v>Late</v>
      </c>
      <c r="L159">
        <f t="shared" ca="1" si="8"/>
        <v>1022</v>
      </c>
    </row>
    <row r="160" spans="1:12" x14ac:dyDescent="0.3">
      <c r="A160" t="s">
        <v>167</v>
      </c>
      <c r="B160" t="s">
        <v>812</v>
      </c>
      <c r="C160" s="3">
        <v>45044</v>
      </c>
      <c r="D160" s="3">
        <v>45074</v>
      </c>
      <c r="E160">
        <v>3691.12</v>
      </c>
      <c r="F160" t="s">
        <v>814</v>
      </c>
      <c r="G160" t="s">
        <v>820</v>
      </c>
      <c r="H160" s="3">
        <v>45072</v>
      </c>
      <c r="I160" t="s">
        <v>822</v>
      </c>
      <c r="J160">
        <f t="shared" si="6"/>
        <v>-2</v>
      </c>
      <c r="K160" t="str">
        <f t="shared" si="7"/>
        <v>On-Time</v>
      </c>
      <c r="L160">
        <f t="shared" ca="1" si="8"/>
        <v>1059</v>
      </c>
    </row>
    <row r="161" spans="1:12" x14ac:dyDescent="0.3">
      <c r="A161" t="s">
        <v>168</v>
      </c>
      <c r="B161" t="s">
        <v>812</v>
      </c>
      <c r="C161" s="3">
        <v>45443</v>
      </c>
      <c r="D161" s="3">
        <v>45473</v>
      </c>
      <c r="E161">
        <v>4217.3900000000003</v>
      </c>
      <c r="F161" t="s">
        <v>818</v>
      </c>
      <c r="G161" t="s">
        <v>821</v>
      </c>
      <c r="H161" s="3">
        <v>45473</v>
      </c>
      <c r="I161" t="s">
        <v>822</v>
      </c>
      <c r="J161">
        <f t="shared" si="6"/>
        <v>0</v>
      </c>
      <c r="K161" t="str">
        <f t="shared" si="7"/>
        <v>On-Time</v>
      </c>
      <c r="L161">
        <f t="shared" ca="1" si="8"/>
        <v>660</v>
      </c>
    </row>
    <row r="162" spans="1:12" x14ac:dyDescent="0.3">
      <c r="A162" t="s">
        <v>169</v>
      </c>
      <c r="B162" t="s">
        <v>810</v>
      </c>
      <c r="C162" s="3">
        <v>45204</v>
      </c>
      <c r="D162" s="3">
        <v>45234</v>
      </c>
      <c r="E162">
        <v>4642.3599999999997</v>
      </c>
      <c r="F162" t="s">
        <v>815</v>
      </c>
      <c r="G162" t="s">
        <v>819</v>
      </c>
      <c r="H162" s="3">
        <v>45243</v>
      </c>
      <c r="I162" t="s">
        <v>822</v>
      </c>
      <c r="J162">
        <f t="shared" si="6"/>
        <v>9</v>
      </c>
      <c r="K162" t="str">
        <f t="shared" si="7"/>
        <v>Pending</v>
      </c>
      <c r="L162">
        <f t="shared" ca="1" si="8"/>
        <v>899</v>
      </c>
    </row>
    <row r="163" spans="1:12" x14ac:dyDescent="0.3">
      <c r="A163" t="s">
        <v>170</v>
      </c>
      <c r="B163" t="s">
        <v>809</v>
      </c>
      <c r="C163" s="3">
        <v>45734</v>
      </c>
      <c r="D163" s="3">
        <v>45764</v>
      </c>
      <c r="E163">
        <v>3580.35</v>
      </c>
      <c r="F163" t="s">
        <v>818</v>
      </c>
      <c r="G163" t="s">
        <v>820</v>
      </c>
      <c r="H163" s="3">
        <v>45762</v>
      </c>
      <c r="I163" t="s">
        <v>822</v>
      </c>
      <c r="J163">
        <f t="shared" si="6"/>
        <v>-2</v>
      </c>
      <c r="K163" t="str">
        <f t="shared" si="7"/>
        <v>On-Time</v>
      </c>
      <c r="L163">
        <f t="shared" ca="1" si="8"/>
        <v>369</v>
      </c>
    </row>
    <row r="164" spans="1:12" x14ac:dyDescent="0.3">
      <c r="A164" t="s">
        <v>171</v>
      </c>
      <c r="B164" t="s">
        <v>813</v>
      </c>
      <c r="C164" s="3">
        <v>45325</v>
      </c>
      <c r="D164" s="3">
        <v>45355</v>
      </c>
      <c r="E164">
        <v>3588.69</v>
      </c>
      <c r="F164" t="s">
        <v>818</v>
      </c>
      <c r="G164" t="s">
        <v>820</v>
      </c>
      <c r="H164" s="3">
        <v>45364</v>
      </c>
      <c r="I164" t="s">
        <v>822</v>
      </c>
      <c r="J164">
        <f t="shared" si="6"/>
        <v>9</v>
      </c>
      <c r="K164" t="str">
        <f t="shared" si="7"/>
        <v>Late</v>
      </c>
      <c r="L164">
        <f t="shared" ca="1" si="8"/>
        <v>778</v>
      </c>
    </row>
    <row r="165" spans="1:12" x14ac:dyDescent="0.3">
      <c r="A165" t="s">
        <v>172</v>
      </c>
      <c r="B165" t="s">
        <v>813</v>
      </c>
      <c r="C165" s="3">
        <v>45586</v>
      </c>
      <c r="D165" s="3">
        <v>45616</v>
      </c>
      <c r="E165">
        <v>2407.4</v>
      </c>
      <c r="F165" t="s">
        <v>815</v>
      </c>
      <c r="G165" t="s">
        <v>820</v>
      </c>
      <c r="H165" s="3">
        <v>45615</v>
      </c>
      <c r="I165" t="s">
        <v>822</v>
      </c>
      <c r="J165">
        <f t="shared" si="6"/>
        <v>-1</v>
      </c>
      <c r="K165" t="str">
        <f t="shared" si="7"/>
        <v>On-Time</v>
      </c>
      <c r="L165">
        <f t="shared" ca="1" si="8"/>
        <v>517</v>
      </c>
    </row>
    <row r="166" spans="1:12" x14ac:dyDescent="0.3">
      <c r="A166" t="s">
        <v>173</v>
      </c>
      <c r="B166" t="s">
        <v>813</v>
      </c>
      <c r="C166" s="3">
        <v>45017</v>
      </c>
      <c r="D166" s="3">
        <v>45047</v>
      </c>
      <c r="E166">
        <v>649.78</v>
      </c>
      <c r="F166" t="s">
        <v>815</v>
      </c>
      <c r="G166" t="s">
        <v>820</v>
      </c>
      <c r="H166" s="3">
        <v>45050</v>
      </c>
      <c r="I166" t="s">
        <v>822</v>
      </c>
      <c r="J166">
        <f t="shared" si="6"/>
        <v>3</v>
      </c>
      <c r="K166" t="str">
        <f t="shared" si="7"/>
        <v>Late</v>
      </c>
      <c r="L166">
        <f t="shared" ca="1" si="8"/>
        <v>1086</v>
      </c>
    </row>
    <row r="167" spans="1:12" x14ac:dyDescent="0.3">
      <c r="A167" t="s">
        <v>174</v>
      </c>
      <c r="B167" t="s">
        <v>811</v>
      </c>
      <c r="C167" s="3">
        <v>45549</v>
      </c>
      <c r="D167" s="3">
        <v>45579</v>
      </c>
      <c r="E167">
        <v>143.83000000000001</v>
      </c>
      <c r="F167" t="s">
        <v>815</v>
      </c>
      <c r="G167" t="s">
        <v>821</v>
      </c>
      <c r="H167" s="3">
        <v>45579</v>
      </c>
      <c r="I167" t="s">
        <v>822</v>
      </c>
      <c r="J167">
        <f t="shared" si="6"/>
        <v>0</v>
      </c>
      <c r="K167" t="str">
        <f t="shared" si="7"/>
        <v>On-Time</v>
      </c>
      <c r="L167">
        <f t="shared" ca="1" si="8"/>
        <v>554</v>
      </c>
    </row>
    <row r="168" spans="1:12" x14ac:dyDescent="0.3">
      <c r="A168" t="s">
        <v>175</v>
      </c>
      <c r="B168" t="s">
        <v>812</v>
      </c>
      <c r="C168" s="3">
        <v>45813</v>
      </c>
      <c r="D168" s="3">
        <v>45843</v>
      </c>
      <c r="E168">
        <v>1041.99</v>
      </c>
      <c r="F168" t="s">
        <v>817</v>
      </c>
      <c r="G168" t="s">
        <v>819</v>
      </c>
      <c r="H168" s="3">
        <v>45844</v>
      </c>
      <c r="I168" t="s">
        <v>822</v>
      </c>
      <c r="J168">
        <f t="shared" si="6"/>
        <v>1</v>
      </c>
      <c r="K168" t="str">
        <f t="shared" si="7"/>
        <v>Pending</v>
      </c>
      <c r="L168">
        <f t="shared" ca="1" si="8"/>
        <v>290</v>
      </c>
    </row>
    <row r="169" spans="1:12" x14ac:dyDescent="0.3">
      <c r="A169" t="s">
        <v>176</v>
      </c>
      <c r="B169" t="s">
        <v>809</v>
      </c>
      <c r="C169" s="3">
        <v>45088</v>
      </c>
      <c r="D169" s="3">
        <v>45118</v>
      </c>
      <c r="E169">
        <v>2826</v>
      </c>
      <c r="F169" t="s">
        <v>815</v>
      </c>
      <c r="G169" t="s">
        <v>819</v>
      </c>
      <c r="H169" s="3">
        <v>45126</v>
      </c>
      <c r="I169" t="s">
        <v>822</v>
      </c>
      <c r="J169">
        <f t="shared" si="6"/>
        <v>8</v>
      </c>
      <c r="K169" t="str">
        <f t="shared" si="7"/>
        <v>Pending</v>
      </c>
      <c r="L169">
        <f t="shared" ca="1" si="8"/>
        <v>1015</v>
      </c>
    </row>
    <row r="170" spans="1:12" x14ac:dyDescent="0.3">
      <c r="A170" t="s">
        <v>177</v>
      </c>
      <c r="B170" t="s">
        <v>809</v>
      </c>
      <c r="C170" s="3">
        <v>45637</v>
      </c>
      <c r="D170" s="3">
        <v>45667</v>
      </c>
      <c r="E170">
        <v>3078.5</v>
      </c>
      <c r="F170" t="s">
        <v>816</v>
      </c>
      <c r="G170" t="s">
        <v>821</v>
      </c>
      <c r="H170" s="3">
        <v>45667</v>
      </c>
      <c r="I170" t="s">
        <v>822</v>
      </c>
      <c r="J170">
        <f t="shared" si="6"/>
        <v>0</v>
      </c>
      <c r="K170" t="str">
        <f t="shared" si="7"/>
        <v>On-Time</v>
      </c>
      <c r="L170">
        <f t="shared" ca="1" si="8"/>
        <v>466</v>
      </c>
    </row>
    <row r="171" spans="1:12" x14ac:dyDescent="0.3">
      <c r="A171" t="s">
        <v>178</v>
      </c>
      <c r="B171" t="s">
        <v>810</v>
      </c>
      <c r="C171" s="3">
        <v>45748</v>
      </c>
      <c r="D171" s="3">
        <v>45778</v>
      </c>
      <c r="E171">
        <v>3139.88</v>
      </c>
      <c r="F171" t="s">
        <v>818</v>
      </c>
      <c r="G171" t="s">
        <v>820</v>
      </c>
      <c r="H171" s="3">
        <v>45777</v>
      </c>
      <c r="I171" t="s">
        <v>822</v>
      </c>
      <c r="J171">
        <f t="shared" si="6"/>
        <v>-1</v>
      </c>
      <c r="K171" t="str">
        <f t="shared" si="7"/>
        <v>On-Time</v>
      </c>
      <c r="L171">
        <f t="shared" ca="1" si="8"/>
        <v>355</v>
      </c>
    </row>
    <row r="172" spans="1:12" x14ac:dyDescent="0.3">
      <c r="A172" t="s">
        <v>179</v>
      </c>
      <c r="B172" t="s">
        <v>813</v>
      </c>
      <c r="C172" s="3">
        <v>45043</v>
      </c>
      <c r="D172" s="3">
        <v>45073</v>
      </c>
      <c r="E172">
        <v>4899.6400000000003</v>
      </c>
      <c r="F172" t="s">
        <v>818</v>
      </c>
      <c r="G172" t="s">
        <v>821</v>
      </c>
      <c r="H172" s="3">
        <v>45073</v>
      </c>
      <c r="I172" t="s">
        <v>822</v>
      </c>
      <c r="J172">
        <f t="shared" si="6"/>
        <v>0</v>
      </c>
      <c r="K172" t="str">
        <f t="shared" si="7"/>
        <v>On-Time</v>
      </c>
      <c r="L172">
        <f t="shared" ca="1" si="8"/>
        <v>1060</v>
      </c>
    </row>
    <row r="173" spans="1:12" x14ac:dyDescent="0.3">
      <c r="A173" t="s">
        <v>180</v>
      </c>
      <c r="B173" t="s">
        <v>809</v>
      </c>
      <c r="C173" s="3">
        <v>45635</v>
      </c>
      <c r="D173" s="3">
        <v>45665</v>
      </c>
      <c r="E173">
        <v>3205.33</v>
      </c>
      <c r="F173" t="s">
        <v>817</v>
      </c>
      <c r="G173" t="s">
        <v>820</v>
      </c>
      <c r="H173" s="3">
        <v>45671</v>
      </c>
      <c r="I173" t="s">
        <v>822</v>
      </c>
      <c r="J173">
        <f t="shared" si="6"/>
        <v>6</v>
      </c>
      <c r="K173" t="str">
        <f t="shared" si="7"/>
        <v>Late</v>
      </c>
      <c r="L173">
        <f t="shared" ca="1" si="8"/>
        <v>468</v>
      </c>
    </row>
    <row r="174" spans="1:12" x14ac:dyDescent="0.3">
      <c r="A174" t="s">
        <v>181</v>
      </c>
      <c r="B174" t="s">
        <v>811</v>
      </c>
      <c r="C174" s="3">
        <v>45605</v>
      </c>
      <c r="D174" s="3">
        <v>45635</v>
      </c>
      <c r="E174">
        <v>1285.77</v>
      </c>
      <c r="F174" t="s">
        <v>817</v>
      </c>
      <c r="G174" t="s">
        <v>820</v>
      </c>
      <c r="H174" s="3">
        <v>45637</v>
      </c>
      <c r="I174" t="s">
        <v>822</v>
      </c>
      <c r="J174">
        <f t="shared" si="6"/>
        <v>2</v>
      </c>
      <c r="K174" t="str">
        <f t="shared" si="7"/>
        <v>Late</v>
      </c>
      <c r="L174">
        <f t="shared" ca="1" si="8"/>
        <v>498</v>
      </c>
    </row>
    <row r="175" spans="1:12" x14ac:dyDescent="0.3">
      <c r="A175" t="s">
        <v>182</v>
      </c>
      <c r="B175" t="s">
        <v>809</v>
      </c>
      <c r="C175" s="3">
        <v>45828</v>
      </c>
      <c r="D175" s="3">
        <v>45858</v>
      </c>
      <c r="E175">
        <v>216.78</v>
      </c>
      <c r="F175" t="s">
        <v>817</v>
      </c>
      <c r="G175" t="s">
        <v>820</v>
      </c>
      <c r="H175" s="3">
        <v>45855</v>
      </c>
      <c r="I175" t="s">
        <v>822</v>
      </c>
      <c r="J175">
        <f t="shared" si="6"/>
        <v>-3</v>
      </c>
      <c r="K175" t="str">
        <f t="shared" si="7"/>
        <v>On-Time</v>
      </c>
      <c r="L175">
        <f t="shared" ca="1" si="8"/>
        <v>275</v>
      </c>
    </row>
    <row r="176" spans="1:12" x14ac:dyDescent="0.3">
      <c r="A176" t="s">
        <v>183</v>
      </c>
      <c r="B176" t="s">
        <v>813</v>
      </c>
      <c r="C176" s="3">
        <v>44990</v>
      </c>
      <c r="D176" s="3">
        <v>45020</v>
      </c>
      <c r="E176">
        <v>4512.7700000000004</v>
      </c>
      <c r="F176" t="s">
        <v>815</v>
      </c>
      <c r="G176" t="s">
        <v>820</v>
      </c>
      <c r="H176" s="3">
        <v>45027</v>
      </c>
      <c r="I176" t="s">
        <v>822</v>
      </c>
      <c r="J176">
        <f t="shared" si="6"/>
        <v>7</v>
      </c>
      <c r="K176" t="str">
        <f t="shared" si="7"/>
        <v>Late</v>
      </c>
      <c r="L176">
        <f t="shared" ca="1" si="8"/>
        <v>1113</v>
      </c>
    </row>
    <row r="177" spans="1:12" x14ac:dyDescent="0.3">
      <c r="A177" t="s">
        <v>184</v>
      </c>
      <c r="B177" t="s">
        <v>810</v>
      </c>
      <c r="C177" s="3">
        <v>45241</v>
      </c>
      <c r="D177" s="3">
        <v>45271</v>
      </c>
      <c r="E177">
        <v>4283.63</v>
      </c>
      <c r="F177" t="s">
        <v>818</v>
      </c>
      <c r="G177" t="s">
        <v>821</v>
      </c>
      <c r="H177" s="3">
        <v>45271</v>
      </c>
      <c r="I177" t="s">
        <v>822</v>
      </c>
      <c r="J177">
        <f t="shared" si="6"/>
        <v>0</v>
      </c>
      <c r="K177" t="str">
        <f t="shared" si="7"/>
        <v>On-Time</v>
      </c>
      <c r="L177">
        <f t="shared" ca="1" si="8"/>
        <v>862</v>
      </c>
    </row>
    <row r="178" spans="1:12" x14ac:dyDescent="0.3">
      <c r="A178" t="s">
        <v>185</v>
      </c>
      <c r="B178" t="s">
        <v>809</v>
      </c>
      <c r="C178" s="3">
        <v>45564</v>
      </c>
      <c r="D178" s="3">
        <v>45594</v>
      </c>
      <c r="E178">
        <v>370.46</v>
      </c>
      <c r="F178" t="s">
        <v>815</v>
      </c>
      <c r="G178" t="s">
        <v>821</v>
      </c>
      <c r="H178" s="3">
        <v>45594</v>
      </c>
      <c r="I178" t="s">
        <v>822</v>
      </c>
      <c r="J178">
        <f t="shared" si="6"/>
        <v>0</v>
      </c>
      <c r="K178" t="str">
        <f t="shared" si="7"/>
        <v>On-Time</v>
      </c>
      <c r="L178">
        <f t="shared" ca="1" si="8"/>
        <v>539</v>
      </c>
    </row>
    <row r="179" spans="1:12" x14ac:dyDescent="0.3">
      <c r="A179" t="s">
        <v>186</v>
      </c>
      <c r="B179" t="s">
        <v>812</v>
      </c>
      <c r="C179" s="3">
        <v>45453</v>
      </c>
      <c r="D179" s="3">
        <v>45483</v>
      </c>
      <c r="E179">
        <v>3313.07</v>
      </c>
      <c r="F179" t="s">
        <v>814</v>
      </c>
      <c r="G179" t="s">
        <v>819</v>
      </c>
      <c r="H179" s="3">
        <v>45492</v>
      </c>
      <c r="I179" t="s">
        <v>822</v>
      </c>
      <c r="J179">
        <f t="shared" si="6"/>
        <v>9</v>
      </c>
      <c r="K179" t="str">
        <f t="shared" si="7"/>
        <v>Pending</v>
      </c>
      <c r="L179">
        <f t="shared" ca="1" si="8"/>
        <v>650</v>
      </c>
    </row>
    <row r="180" spans="1:12" x14ac:dyDescent="0.3">
      <c r="A180" t="s">
        <v>187</v>
      </c>
      <c r="B180" t="s">
        <v>811</v>
      </c>
      <c r="C180" s="3">
        <v>45253</v>
      </c>
      <c r="D180" s="3">
        <v>45283</v>
      </c>
      <c r="E180">
        <v>4616.42</v>
      </c>
      <c r="F180" t="s">
        <v>817</v>
      </c>
      <c r="G180" t="s">
        <v>821</v>
      </c>
      <c r="H180" s="3">
        <v>45283</v>
      </c>
      <c r="I180" t="s">
        <v>822</v>
      </c>
      <c r="J180">
        <f t="shared" si="6"/>
        <v>0</v>
      </c>
      <c r="K180" t="str">
        <f t="shared" si="7"/>
        <v>On-Time</v>
      </c>
      <c r="L180">
        <f t="shared" ca="1" si="8"/>
        <v>850</v>
      </c>
    </row>
    <row r="181" spans="1:12" x14ac:dyDescent="0.3">
      <c r="A181" t="s">
        <v>188</v>
      </c>
      <c r="B181" t="s">
        <v>811</v>
      </c>
      <c r="C181" s="3">
        <v>44998</v>
      </c>
      <c r="D181" s="3">
        <v>45028</v>
      </c>
      <c r="E181">
        <v>1731.08</v>
      </c>
      <c r="F181" t="s">
        <v>817</v>
      </c>
      <c r="G181" t="s">
        <v>819</v>
      </c>
      <c r="H181" s="3">
        <v>45038</v>
      </c>
      <c r="I181" t="s">
        <v>822</v>
      </c>
      <c r="J181">
        <f t="shared" si="6"/>
        <v>10</v>
      </c>
      <c r="K181" t="str">
        <f t="shared" si="7"/>
        <v>Pending</v>
      </c>
      <c r="L181">
        <f t="shared" ca="1" si="8"/>
        <v>1105</v>
      </c>
    </row>
    <row r="182" spans="1:12" x14ac:dyDescent="0.3">
      <c r="A182" t="s">
        <v>189</v>
      </c>
      <c r="B182" t="s">
        <v>809</v>
      </c>
      <c r="C182" s="3">
        <v>45693</v>
      </c>
      <c r="D182" s="3">
        <v>45723</v>
      </c>
      <c r="E182">
        <v>4027.83</v>
      </c>
      <c r="F182" t="s">
        <v>815</v>
      </c>
      <c r="G182" t="s">
        <v>820</v>
      </c>
      <c r="H182" s="3">
        <v>45724</v>
      </c>
      <c r="I182" t="s">
        <v>822</v>
      </c>
      <c r="J182">
        <f t="shared" si="6"/>
        <v>1</v>
      </c>
      <c r="K182" t="str">
        <f t="shared" si="7"/>
        <v>Late</v>
      </c>
      <c r="L182">
        <f t="shared" ca="1" si="8"/>
        <v>410</v>
      </c>
    </row>
    <row r="183" spans="1:12" x14ac:dyDescent="0.3">
      <c r="A183" t="s">
        <v>190</v>
      </c>
      <c r="B183" t="s">
        <v>813</v>
      </c>
      <c r="C183" s="3">
        <v>45498</v>
      </c>
      <c r="D183" s="3">
        <v>45528</v>
      </c>
      <c r="E183">
        <v>1770.47</v>
      </c>
      <c r="F183" t="s">
        <v>815</v>
      </c>
      <c r="G183" t="s">
        <v>821</v>
      </c>
      <c r="H183" s="3">
        <v>45528</v>
      </c>
      <c r="I183" t="s">
        <v>822</v>
      </c>
      <c r="J183">
        <f t="shared" si="6"/>
        <v>0</v>
      </c>
      <c r="K183" t="str">
        <f t="shared" si="7"/>
        <v>On-Time</v>
      </c>
      <c r="L183">
        <f t="shared" ca="1" si="8"/>
        <v>605</v>
      </c>
    </row>
    <row r="184" spans="1:12" x14ac:dyDescent="0.3">
      <c r="A184" t="s">
        <v>191</v>
      </c>
      <c r="B184" t="s">
        <v>810</v>
      </c>
      <c r="C184" s="3">
        <v>45646</v>
      </c>
      <c r="D184" s="3">
        <v>45676</v>
      </c>
      <c r="E184">
        <v>4140.83</v>
      </c>
      <c r="F184" t="s">
        <v>814</v>
      </c>
      <c r="G184" t="s">
        <v>821</v>
      </c>
      <c r="H184" s="3">
        <v>45676</v>
      </c>
      <c r="I184" t="s">
        <v>822</v>
      </c>
      <c r="J184">
        <f t="shared" si="6"/>
        <v>0</v>
      </c>
      <c r="K184" t="str">
        <f t="shared" si="7"/>
        <v>On-Time</v>
      </c>
      <c r="L184">
        <f t="shared" ca="1" si="8"/>
        <v>457</v>
      </c>
    </row>
    <row r="185" spans="1:12" x14ac:dyDescent="0.3">
      <c r="A185" t="s">
        <v>192</v>
      </c>
      <c r="B185" t="s">
        <v>811</v>
      </c>
      <c r="C185" s="3">
        <v>45763</v>
      </c>
      <c r="D185" s="3">
        <v>45793</v>
      </c>
      <c r="E185">
        <v>606.74</v>
      </c>
      <c r="F185" t="s">
        <v>814</v>
      </c>
      <c r="G185" t="s">
        <v>820</v>
      </c>
      <c r="H185" s="3">
        <v>45790</v>
      </c>
      <c r="I185" t="s">
        <v>822</v>
      </c>
      <c r="J185">
        <f t="shared" si="6"/>
        <v>-3</v>
      </c>
      <c r="K185" t="str">
        <f t="shared" si="7"/>
        <v>On-Time</v>
      </c>
      <c r="L185">
        <f t="shared" ca="1" si="8"/>
        <v>340</v>
      </c>
    </row>
    <row r="186" spans="1:12" x14ac:dyDescent="0.3">
      <c r="A186" t="s">
        <v>193</v>
      </c>
      <c r="B186" t="s">
        <v>813</v>
      </c>
      <c r="C186" s="3">
        <v>44961</v>
      </c>
      <c r="D186" s="3">
        <v>44991</v>
      </c>
      <c r="E186">
        <v>3488.56</v>
      </c>
      <c r="F186" t="s">
        <v>816</v>
      </c>
      <c r="G186" t="s">
        <v>819</v>
      </c>
      <c r="H186" s="3">
        <v>45000</v>
      </c>
      <c r="I186" t="s">
        <v>822</v>
      </c>
      <c r="J186">
        <f t="shared" si="6"/>
        <v>9</v>
      </c>
      <c r="K186" t="str">
        <f t="shared" si="7"/>
        <v>Pending</v>
      </c>
      <c r="L186">
        <f t="shared" ca="1" si="8"/>
        <v>1142</v>
      </c>
    </row>
    <row r="187" spans="1:12" x14ac:dyDescent="0.3">
      <c r="A187" t="s">
        <v>194</v>
      </c>
      <c r="B187" t="s">
        <v>811</v>
      </c>
      <c r="C187" s="3">
        <v>45830</v>
      </c>
      <c r="D187" s="3">
        <v>45860</v>
      </c>
      <c r="E187">
        <v>816.61</v>
      </c>
      <c r="F187" t="s">
        <v>815</v>
      </c>
      <c r="G187" t="s">
        <v>819</v>
      </c>
      <c r="H187" s="3">
        <v>45857</v>
      </c>
      <c r="I187" t="s">
        <v>822</v>
      </c>
      <c r="J187">
        <f t="shared" si="6"/>
        <v>-3</v>
      </c>
      <c r="K187" t="str">
        <f t="shared" si="7"/>
        <v>Pending</v>
      </c>
      <c r="L187">
        <f t="shared" ca="1" si="8"/>
        <v>273</v>
      </c>
    </row>
    <row r="188" spans="1:12" x14ac:dyDescent="0.3">
      <c r="A188" t="s">
        <v>195</v>
      </c>
      <c r="B188" t="s">
        <v>809</v>
      </c>
      <c r="C188" s="3">
        <v>45414</v>
      </c>
      <c r="D188" s="3">
        <v>45444</v>
      </c>
      <c r="E188">
        <v>2178.88</v>
      </c>
      <c r="F188" t="s">
        <v>816</v>
      </c>
      <c r="G188" t="s">
        <v>821</v>
      </c>
      <c r="H188" s="3">
        <v>45444</v>
      </c>
      <c r="I188" t="s">
        <v>822</v>
      </c>
      <c r="J188">
        <f t="shared" si="6"/>
        <v>0</v>
      </c>
      <c r="K188" t="str">
        <f t="shared" si="7"/>
        <v>On-Time</v>
      </c>
      <c r="L188">
        <f t="shared" ca="1" si="8"/>
        <v>689</v>
      </c>
    </row>
    <row r="189" spans="1:12" x14ac:dyDescent="0.3">
      <c r="A189" t="s">
        <v>196</v>
      </c>
      <c r="B189" t="s">
        <v>810</v>
      </c>
      <c r="C189" s="3">
        <v>45279</v>
      </c>
      <c r="D189" s="3">
        <v>45309</v>
      </c>
      <c r="E189">
        <v>4356.53</v>
      </c>
      <c r="F189" t="s">
        <v>817</v>
      </c>
      <c r="G189" t="s">
        <v>820</v>
      </c>
      <c r="H189" s="3">
        <v>45318</v>
      </c>
      <c r="I189" t="s">
        <v>822</v>
      </c>
      <c r="J189">
        <f t="shared" si="6"/>
        <v>9</v>
      </c>
      <c r="K189" t="str">
        <f t="shared" si="7"/>
        <v>Late</v>
      </c>
      <c r="L189">
        <f t="shared" ca="1" si="8"/>
        <v>824</v>
      </c>
    </row>
    <row r="190" spans="1:12" x14ac:dyDescent="0.3">
      <c r="A190" t="s">
        <v>197</v>
      </c>
      <c r="B190" t="s">
        <v>809</v>
      </c>
      <c r="C190" s="3">
        <v>45399</v>
      </c>
      <c r="D190" s="3">
        <v>45429</v>
      </c>
      <c r="E190">
        <v>2905.63</v>
      </c>
      <c r="F190" t="s">
        <v>818</v>
      </c>
      <c r="G190" t="s">
        <v>819</v>
      </c>
      <c r="H190" s="3">
        <v>45433</v>
      </c>
      <c r="I190" t="s">
        <v>822</v>
      </c>
      <c r="J190">
        <f t="shared" si="6"/>
        <v>4</v>
      </c>
      <c r="K190" t="str">
        <f t="shared" si="7"/>
        <v>Pending</v>
      </c>
      <c r="L190">
        <f t="shared" ca="1" si="8"/>
        <v>704</v>
      </c>
    </row>
    <row r="191" spans="1:12" x14ac:dyDescent="0.3">
      <c r="A191" t="s">
        <v>198</v>
      </c>
      <c r="B191" t="s">
        <v>812</v>
      </c>
      <c r="C191" s="3">
        <v>45414</v>
      </c>
      <c r="D191" s="3">
        <v>45444</v>
      </c>
      <c r="E191">
        <v>940.95</v>
      </c>
      <c r="F191" t="s">
        <v>815</v>
      </c>
      <c r="G191" t="s">
        <v>821</v>
      </c>
      <c r="H191" s="3">
        <v>45444</v>
      </c>
      <c r="I191" t="s">
        <v>822</v>
      </c>
      <c r="J191">
        <f t="shared" si="6"/>
        <v>0</v>
      </c>
      <c r="K191" t="str">
        <f t="shared" si="7"/>
        <v>On-Time</v>
      </c>
      <c r="L191">
        <f t="shared" ca="1" si="8"/>
        <v>689</v>
      </c>
    </row>
    <row r="192" spans="1:12" x14ac:dyDescent="0.3">
      <c r="A192" t="s">
        <v>199</v>
      </c>
      <c r="B192" t="s">
        <v>811</v>
      </c>
      <c r="C192" s="3">
        <v>44974</v>
      </c>
      <c r="D192" s="3">
        <v>45004</v>
      </c>
      <c r="E192">
        <v>4744.18</v>
      </c>
      <c r="F192" t="s">
        <v>818</v>
      </c>
      <c r="G192" t="s">
        <v>820</v>
      </c>
      <c r="H192" s="3">
        <v>45012</v>
      </c>
      <c r="I192" t="s">
        <v>822</v>
      </c>
      <c r="J192">
        <f t="shared" si="6"/>
        <v>8</v>
      </c>
      <c r="K192" t="str">
        <f t="shared" si="7"/>
        <v>Late</v>
      </c>
      <c r="L192">
        <f t="shared" ca="1" si="8"/>
        <v>1129</v>
      </c>
    </row>
    <row r="193" spans="1:12" x14ac:dyDescent="0.3">
      <c r="A193" t="s">
        <v>200</v>
      </c>
      <c r="B193" t="s">
        <v>812</v>
      </c>
      <c r="C193" s="3">
        <v>45710</v>
      </c>
      <c r="D193" s="3">
        <v>45740</v>
      </c>
      <c r="E193">
        <v>147.49</v>
      </c>
      <c r="F193" t="s">
        <v>818</v>
      </c>
      <c r="G193" t="s">
        <v>821</v>
      </c>
      <c r="H193" s="3">
        <v>45740</v>
      </c>
      <c r="I193" t="s">
        <v>822</v>
      </c>
      <c r="J193">
        <f t="shared" si="6"/>
        <v>0</v>
      </c>
      <c r="K193" t="str">
        <f t="shared" si="7"/>
        <v>On-Time</v>
      </c>
      <c r="L193">
        <f t="shared" ca="1" si="8"/>
        <v>393</v>
      </c>
    </row>
    <row r="194" spans="1:12" x14ac:dyDescent="0.3">
      <c r="A194" t="s">
        <v>201</v>
      </c>
      <c r="B194" t="s">
        <v>813</v>
      </c>
      <c r="C194" s="3">
        <v>45817</v>
      </c>
      <c r="D194" s="3">
        <v>45847</v>
      </c>
      <c r="E194">
        <v>495.23</v>
      </c>
      <c r="F194" t="s">
        <v>815</v>
      </c>
      <c r="G194" t="s">
        <v>820</v>
      </c>
      <c r="H194" s="3">
        <v>45852</v>
      </c>
      <c r="I194" t="s">
        <v>822</v>
      </c>
      <c r="J194">
        <f t="shared" si="6"/>
        <v>5</v>
      </c>
      <c r="K194" t="str">
        <f t="shared" si="7"/>
        <v>Late</v>
      </c>
      <c r="L194">
        <f t="shared" ca="1" si="8"/>
        <v>286</v>
      </c>
    </row>
    <row r="195" spans="1:12" x14ac:dyDescent="0.3">
      <c r="A195" t="s">
        <v>202</v>
      </c>
      <c r="B195" t="s">
        <v>812</v>
      </c>
      <c r="C195" s="3">
        <v>45076</v>
      </c>
      <c r="D195" s="3">
        <v>45106</v>
      </c>
      <c r="E195">
        <v>2497.87</v>
      </c>
      <c r="F195" t="s">
        <v>816</v>
      </c>
      <c r="G195" t="s">
        <v>820</v>
      </c>
      <c r="H195" s="3">
        <v>45107</v>
      </c>
      <c r="I195" t="s">
        <v>822</v>
      </c>
      <c r="J195">
        <f t="shared" ref="J195:J258" si="9">IF(H195="",0,H195-D195)</f>
        <v>1</v>
      </c>
      <c r="K195" t="str">
        <f t="shared" ref="K195:K258" si="10">IF(G195="Open","Pending",IF(H195&lt;=D195,"On-Time","Late"))</f>
        <v>Late</v>
      </c>
      <c r="L195">
        <f t="shared" ref="L195:L258" ca="1" si="11">TODAY()-C195</f>
        <v>1027</v>
      </c>
    </row>
    <row r="196" spans="1:12" x14ac:dyDescent="0.3">
      <c r="A196" t="s">
        <v>203</v>
      </c>
      <c r="B196" t="s">
        <v>813</v>
      </c>
      <c r="C196" s="3">
        <v>45454</v>
      </c>
      <c r="D196" s="3">
        <v>45484</v>
      </c>
      <c r="E196">
        <v>1407.52</v>
      </c>
      <c r="F196" t="s">
        <v>815</v>
      </c>
      <c r="G196" t="s">
        <v>819</v>
      </c>
      <c r="H196" s="3">
        <v>45482</v>
      </c>
      <c r="I196" t="s">
        <v>822</v>
      </c>
      <c r="J196">
        <f t="shared" si="9"/>
        <v>-2</v>
      </c>
      <c r="K196" t="str">
        <f t="shared" si="10"/>
        <v>Pending</v>
      </c>
      <c r="L196">
        <f t="shared" ca="1" si="11"/>
        <v>649</v>
      </c>
    </row>
    <row r="197" spans="1:12" x14ac:dyDescent="0.3">
      <c r="A197" t="s">
        <v>204</v>
      </c>
      <c r="B197" t="s">
        <v>813</v>
      </c>
      <c r="C197" s="3">
        <v>45723</v>
      </c>
      <c r="D197" s="3">
        <v>45753</v>
      </c>
      <c r="E197">
        <v>2632.28</v>
      </c>
      <c r="F197" t="s">
        <v>818</v>
      </c>
      <c r="G197" t="s">
        <v>820</v>
      </c>
      <c r="H197" s="3">
        <v>45761</v>
      </c>
      <c r="I197" t="s">
        <v>822</v>
      </c>
      <c r="J197">
        <f t="shared" si="9"/>
        <v>8</v>
      </c>
      <c r="K197" t="str">
        <f t="shared" si="10"/>
        <v>Late</v>
      </c>
      <c r="L197">
        <f t="shared" ca="1" si="11"/>
        <v>380</v>
      </c>
    </row>
    <row r="198" spans="1:12" x14ac:dyDescent="0.3">
      <c r="A198" t="s">
        <v>205</v>
      </c>
      <c r="B198" t="s">
        <v>810</v>
      </c>
      <c r="C198" s="3">
        <v>45384</v>
      </c>
      <c r="D198" s="3">
        <v>45414</v>
      </c>
      <c r="E198">
        <v>3255.92</v>
      </c>
      <c r="F198" t="s">
        <v>816</v>
      </c>
      <c r="G198" t="s">
        <v>819</v>
      </c>
      <c r="H198" s="3">
        <v>45420</v>
      </c>
      <c r="I198" t="s">
        <v>822</v>
      </c>
      <c r="J198">
        <f t="shared" si="9"/>
        <v>6</v>
      </c>
      <c r="K198" t="str">
        <f t="shared" si="10"/>
        <v>Pending</v>
      </c>
      <c r="L198">
        <f t="shared" ca="1" si="11"/>
        <v>719</v>
      </c>
    </row>
    <row r="199" spans="1:12" x14ac:dyDescent="0.3">
      <c r="A199" t="s">
        <v>206</v>
      </c>
      <c r="B199" t="s">
        <v>809</v>
      </c>
      <c r="C199" s="3">
        <v>45190</v>
      </c>
      <c r="D199" s="3">
        <v>45220</v>
      </c>
      <c r="E199">
        <v>392.7</v>
      </c>
      <c r="F199" t="s">
        <v>817</v>
      </c>
      <c r="G199" t="s">
        <v>821</v>
      </c>
      <c r="H199" s="3">
        <v>45220</v>
      </c>
      <c r="I199" t="s">
        <v>822</v>
      </c>
      <c r="J199">
        <f t="shared" si="9"/>
        <v>0</v>
      </c>
      <c r="K199" t="str">
        <f t="shared" si="10"/>
        <v>On-Time</v>
      </c>
      <c r="L199">
        <f t="shared" ca="1" si="11"/>
        <v>913</v>
      </c>
    </row>
    <row r="200" spans="1:12" x14ac:dyDescent="0.3">
      <c r="A200" t="s">
        <v>207</v>
      </c>
      <c r="B200" t="s">
        <v>810</v>
      </c>
      <c r="C200" s="3">
        <v>45388</v>
      </c>
      <c r="D200" s="3">
        <v>45418</v>
      </c>
      <c r="E200">
        <v>4366.6499999999996</v>
      </c>
      <c r="F200" t="s">
        <v>817</v>
      </c>
      <c r="G200" t="s">
        <v>820</v>
      </c>
      <c r="H200" s="3">
        <v>45421</v>
      </c>
      <c r="I200" t="s">
        <v>822</v>
      </c>
      <c r="J200">
        <f t="shared" si="9"/>
        <v>3</v>
      </c>
      <c r="K200" t="str">
        <f t="shared" si="10"/>
        <v>Late</v>
      </c>
      <c r="L200">
        <f t="shared" ca="1" si="11"/>
        <v>715</v>
      </c>
    </row>
    <row r="201" spans="1:12" x14ac:dyDescent="0.3">
      <c r="A201" t="s">
        <v>208</v>
      </c>
      <c r="B201" t="s">
        <v>813</v>
      </c>
      <c r="C201" s="3">
        <v>45372</v>
      </c>
      <c r="D201" s="3">
        <v>45402</v>
      </c>
      <c r="E201">
        <v>1348.94</v>
      </c>
      <c r="F201" t="s">
        <v>814</v>
      </c>
      <c r="G201" t="s">
        <v>821</v>
      </c>
      <c r="H201" s="3">
        <v>45402</v>
      </c>
      <c r="I201" t="s">
        <v>822</v>
      </c>
      <c r="J201">
        <f t="shared" si="9"/>
        <v>0</v>
      </c>
      <c r="K201" t="str">
        <f t="shared" si="10"/>
        <v>On-Time</v>
      </c>
      <c r="L201">
        <f t="shared" ca="1" si="11"/>
        <v>731</v>
      </c>
    </row>
    <row r="202" spans="1:12" x14ac:dyDescent="0.3">
      <c r="A202" t="s">
        <v>209</v>
      </c>
      <c r="B202" t="s">
        <v>812</v>
      </c>
      <c r="C202" s="3">
        <v>45837</v>
      </c>
      <c r="D202" s="3">
        <v>45867</v>
      </c>
      <c r="E202">
        <v>4373.5200000000004</v>
      </c>
      <c r="F202" t="s">
        <v>816</v>
      </c>
      <c r="G202" t="s">
        <v>819</v>
      </c>
      <c r="H202" s="3">
        <v>45870</v>
      </c>
      <c r="I202" t="s">
        <v>822</v>
      </c>
      <c r="J202">
        <f t="shared" si="9"/>
        <v>3</v>
      </c>
      <c r="K202" t="str">
        <f t="shared" si="10"/>
        <v>Pending</v>
      </c>
      <c r="L202">
        <f t="shared" ca="1" si="11"/>
        <v>266</v>
      </c>
    </row>
    <row r="203" spans="1:12" x14ac:dyDescent="0.3">
      <c r="A203" t="s">
        <v>210</v>
      </c>
      <c r="B203" t="s">
        <v>812</v>
      </c>
      <c r="C203" s="3">
        <v>45232</v>
      </c>
      <c r="D203" s="3">
        <v>45262</v>
      </c>
      <c r="E203">
        <v>3414.97</v>
      </c>
      <c r="F203" t="s">
        <v>817</v>
      </c>
      <c r="G203" t="s">
        <v>821</v>
      </c>
      <c r="H203" s="3">
        <v>45262</v>
      </c>
      <c r="I203" t="s">
        <v>822</v>
      </c>
      <c r="J203">
        <f t="shared" si="9"/>
        <v>0</v>
      </c>
      <c r="K203" t="str">
        <f t="shared" si="10"/>
        <v>On-Time</v>
      </c>
      <c r="L203">
        <f t="shared" ca="1" si="11"/>
        <v>871</v>
      </c>
    </row>
    <row r="204" spans="1:12" x14ac:dyDescent="0.3">
      <c r="A204" t="s">
        <v>211</v>
      </c>
      <c r="B204" t="s">
        <v>812</v>
      </c>
      <c r="C204" s="3">
        <v>45665</v>
      </c>
      <c r="D204" s="3">
        <v>45695</v>
      </c>
      <c r="E204">
        <v>1646.53</v>
      </c>
      <c r="F204" t="s">
        <v>815</v>
      </c>
      <c r="G204" t="s">
        <v>821</v>
      </c>
      <c r="H204" s="3">
        <v>45695</v>
      </c>
      <c r="I204" t="s">
        <v>822</v>
      </c>
      <c r="J204">
        <f t="shared" si="9"/>
        <v>0</v>
      </c>
      <c r="K204" t="str">
        <f t="shared" si="10"/>
        <v>On-Time</v>
      </c>
      <c r="L204">
        <f t="shared" ca="1" si="11"/>
        <v>438</v>
      </c>
    </row>
    <row r="205" spans="1:12" x14ac:dyDescent="0.3">
      <c r="A205" t="s">
        <v>212</v>
      </c>
      <c r="B205" t="s">
        <v>810</v>
      </c>
      <c r="C205" s="3">
        <v>45727</v>
      </c>
      <c r="D205" s="3">
        <v>45757</v>
      </c>
      <c r="E205">
        <v>2688.88</v>
      </c>
      <c r="F205" t="s">
        <v>814</v>
      </c>
      <c r="G205" t="s">
        <v>819</v>
      </c>
      <c r="H205" s="3">
        <v>45755</v>
      </c>
      <c r="I205" t="s">
        <v>822</v>
      </c>
      <c r="J205">
        <f t="shared" si="9"/>
        <v>-2</v>
      </c>
      <c r="K205" t="str">
        <f t="shared" si="10"/>
        <v>Pending</v>
      </c>
      <c r="L205">
        <f t="shared" ca="1" si="11"/>
        <v>376</v>
      </c>
    </row>
    <row r="206" spans="1:12" x14ac:dyDescent="0.3">
      <c r="A206" t="s">
        <v>213</v>
      </c>
      <c r="B206" t="s">
        <v>811</v>
      </c>
      <c r="C206" s="3">
        <v>44933</v>
      </c>
      <c r="D206" s="3">
        <v>44963</v>
      </c>
      <c r="E206">
        <v>2187.09</v>
      </c>
      <c r="F206" t="s">
        <v>818</v>
      </c>
      <c r="G206" t="s">
        <v>820</v>
      </c>
      <c r="H206" s="3">
        <v>44966</v>
      </c>
      <c r="I206" t="s">
        <v>822</v>
      </c>
      <c r="J206">
        <f t="shared" si="9"/>
        <v>3</v>
      </c>
      <c r="K206" t="str">
        <f t="shared" si="10"/>
        <v>Late</v>
      </c>
      <c r="L206">
        <f t="shared" ca="1" si="11"/>
        <v>1170</v>
      </c>
    </row>
    <row r="207" spans="1:12" x14ac:dyDescent="0.3">
      <c r="A207" t="s">
        <v>214</v>
      </c>
      <c r="B207" t="s">
        <v>813</v>
      </c>
      <c r="C207" s="3">
        <v>45805</v>
      </c>
      <c r="D207" s="3">
        <v>45835</v>
      </c>
      <c r="E207">
        <v>3171.13</v>
      </c>
      <c r="F207" t="s">
        <v>817</v>
      </c>
      <c r="G207" t="s">
        <v>821</v>
      </c>
      <c r="H207" s="3">
        <v>45835</v>
      </c>
      <c r="I207" t="s">
        <v>822</v>
      </c>
      <c r="J207">
        <f t="shared" si="9"/>
        <v>0</v>
      </c>
      <c r="K207" t="str">
        <f t="shared" si="10"/>
        <v>On-Time</v>
      </c>
      <c r="L207">
        <f t="shared" ca="1" si="11"/>
        <v>298</v>
      </c>
    </row>
    <row r="208" spans="1:12" x14ac:dyDescent="0.3">
      <c r="A208" t="s">
        <v>215</v>
      </c>
      <c r="B208" t="s">
        <v>809</v>
      </c>
      <c r="C208" s="3">
        <v>45437</v>
      </c>
      <c r="D208" s="3">
        <v>45467</v>
      </c>
      <c r="E208">
        <v>2235.4699999999998</v>
      </c>
      <c r="F208" t="s">
        <v>814</v>
      </c>
      <c r="G208" t="s">
        <v>821</v>
      </c>
      <c r="H208" s="3">
        <v>45467</v>
      </c>
      <c r="I208" t="s">
        <v>822</v>
      </c>
      <c r="J208">
        <f t="shared" si="9"/>
        <v>0</v>
      </c>
      <c r="K208" t="str">
        <f t="shared" si="10"/>
        <v>On-Time</v>
      </c>
      <c r="L208">
        <f t="shared" ca="1" si="11"/>
        <v>666</v>
      </c>
    </row>
    <row r="209" spans="1:12" x14ac:dyDescent="0.3">
      <c r="A209" t="s">
        <v>216</v>
      </c>
      <c r="B209" t="s">
        <v>809</v>
      </c>
      <c r="C209" s="3">
        <v>45445</v>
      </c>
      <c r="D209" s="3">
        <v>45475</v>
      </c>
      <c r="E209">
        <v>4392.95</v>
      </c>
      <c r="F209" t="s">
        <v>817</v>
      </c>
      <c r="G209" t="s">
        <v>821</v>
      </c>
      <c r="H209" s="3">
        <v>45475</v>
      </c>
      <c r="I209" t="s">
        <v>822</v>
      </c>
      <c r="J209">
        <f t="shared" si="9"/>
        <v>0</v>
      </c>
      <c r="K209" t="str">
        <f t="shared" si="10"/>
        <v>On-Time</v>
      </c>
      <c r="L209">
        <f t="shared" ca="1" si="11"/>
        <v>658</v>
      </c>
    </row>
    <row r="210" spans="1:12" x14ac:dyDescent="0.3">
      <c r="A210" t="s">
        <v>217</v>
      </c>
      <c r="B210" t="s">
        <v>812</v>
      </c>
      <c r="C210" s="3">
        <v>45204</v>
      </c>
      <c r="D210" s="3">
        <v>45234</v>
      </c>
      <c r="E210">
        <v>765.04</v>
      </c>
      <c r="F210" t="s">
        <v>814</v>
      </c>
      <c r="G210" t="s">
        <v>821</v>
      </c>
      <c r="H210" s="3">
        <v>45234</v>
      </c>
      <c r="I210" t="s">
        <v>822</v>
      </c>
      <c r="J210">
        <f t="shared" si="9"/>
        <v>0</v>
      </c>
      <c r="K210" t="str">
        <f t="shared" si="10"/>
        <v>On-Time</v>
      </c>
      <c r="L210">
        <f t="shared" ca="1" si="11"/>
        <v>899</v>
      </c>
    </row>
    <row r="211" spans="1:12" x14ac:dyDescent="0.3">
      <c r="A211" t="s">
        <v>218</v>
      </c>
      <c r="B211" t="s">
        <v>809</v>
      </c>
      <c r="C211" s="3">
        <v>45392</v>
      </c>
      <c r="D211" s="3">
        <v>45422</v>
      </c>
      <c r="E211">
        <v>4435.17</v>
      </c>
      <c r="F211" t="s">
        <v>817</v>
      </c>
      <c r="G211" t="s">
        <v>819</v>
      </c>
      <c r="H211" s="3">
        <v>45426</v>
      </c>
      <c r="I211" t="s">
        <v>822</v>
      </c>
      <c r="J211">
        <f t="shared" si="9"/>
        <v>4</v>
      </c>
      <c r="K211" t="str">
        <f t="shared" si="10"/>
        <v>Pending</v>
      </c>
      <c r="L211">
        <f t="shared" ca="1" si="11"/>
        <v>711</v>
      </c>
    </row>
    <row r="212" spans="1:12" x14ac:dyDescent="0.3">
      <c r="A212" t="s">
        <v>219</v>
      </c>
      <c r="B212" t="s">
        <v>809</v>
      </c>
      <c r="C212" s="3">
        <v>44948</v>
      </c>
      <c r="D212" s="3">
        <v>44978</v>
      </c>
      <c r="E212">
        <v>2626.85</v>
      </c>
      <c r="F212" t="s">
        <v>815</v>
      </c>
      <c r="G212" t="s">
        <v>819</v>
      </c>
      <c r="H212" s="3">
        <v>44979</v>
      </c>
      <c r="I212" t="s">
        <v>822</v>
      </c>
      <c r="J212">
        <f t="shared" si="9"/>
        <v>1</v>
      </c>
      <c r="K212" t="str">
        <f t="shared" si="10"/>
        <v>Pending</v>
      </c>
      <c r="L212">
        <f t="shared" ca="1" si="11"/>
        <v>1155</v>
      </c>
    </row>
    <row r="213" spans="1:12" x14ac:dyDescent="0.3">
      <c r="A213" t="s">
        <v>220</v>
      </c>
      <c r="B213" t="s">
        <v>809</v>
      </c>
      <c r="C213" s="3">
        <v>45460</v>
      </c>
      <c r="D213" s="3">
        <v>45490</v>
      </c>
      <c r="E213">
        <v>4803.24</v>
      </c>
      <c r="F213" t="s">
        <v>817</v>
      </c>
      <c r="G213" t="s">
        <v>820</v>
      </c>
      <c r="H213" s="3">
        <v>45498</v>
      </c>
      <c r="I213" t="s">
        <v>822</v>
      </c>
      <c r="J213">
        <f t="shared" si="9"/>
        <v>8</v>
      </c>
      <c r="K213" t="str">
        <f t="shared" si="10"/>
        <v>Late</v>
      </c>
      <c r="L213">
        <f t="shared" ca="1" si="11"/>
        <v>643</v>
      </c>
    </row>
    <row r="214" spans="1:12" x14ac:dyDescent="0.3">
      <c r="A214" t="s">
        <v>221</v>
      </c>
      <c r="B214" t="s">
        <v>810</v>
      </c>
      <c r="C214" s="3">
        <v>45496</v>
      </c>
      <c r="D214" s="3">
        <v>45526</v>
      </c>
      <c r="E214">
        <v>3007.22</v>
      </c>
      <c r="F214" t="s">
        <v>817</v>
      </c>
      <c r="G214" t="s">
        <v>821</v>
      </c>
      <c r="H214" s="3">
        <v>45526</v>
      </c>
      <c r="I214" t="s">
        <v>822</v>
      </c>
      <c r="J214">
        <f t="shared" si="9"/>
        <v>0</v>
      </c>
      <c r="K214" t="str">
        <f t="shared" si="10"/>
        <v>On-Time</v>
      </c>
      <c r="L214">
        <f t="shared" ca="1" si="11"/>
        <v>607</v>
      </c>
    </row>
    <row r="215" spans="1:12" x14ac:dyDescent="0.3">
      <c r="A215" t="s">
        <v>222</v>
      </c>
      <c r="B215" t="s">
        <v>809</v>
      </c>
      <c r="C215" s="3">
        <v>45704</v>
      </c>
      <c r="D215" s="3">
        <v>45734</v>
      </c>
      <c r="E215">
        <v>4929.75</v>
      </c>
      <c r="F215" t="s">
        <v>815</v>
      </c>
      <c r="G215" t="s">
        <v>819</v>
      </c>
      <c r="H215" s="3">
        <v>45736</v>
      </c>
      <c r="I215" t="s">
        <v>822</v>
      </c>
      <c r="J215">
        <f t="shared" si="9"/>
        <v>2</v>
      </c>
      <c r="K215" t="str">
        <f t="shared" si="10"/>
        <v>Pending</v>
      </c>
      <c r="L215">
        <f t="shared" ca="1" si="11"/>
        <v>399</v>
      </c>
    </row>
    <row r="216" spans="1:12" x14ac:dyDescent="0.3">
      <c r="A216" t="s">
        <v>223</v>
      </c>
      <c r="B216" t="s">
        <v>810</v>
      </c>
      <c r="C216" s="3">
        <v>45449</v>
      </c>
      <c r="D216" s="3">
        <v>45479</v>
      </c>
      <c r="E216">
        <v>1536.2</v>
      </c>
      <c r="F216" t="s">
        <v>814</v>
      </c>
      <c r="G216" t="s">
        <v>820</v>
      </c>
      <c r="H216" s="3">
        <v>45485</v>
      </c>
      <c r="I216" t="s">
        <v>822</v>
      </c>
      <c r="J216">
        <f t="shared" si="9"/>
        <v>6</v>
      </c>
      <c r="K216" t="str">
        <f t="shared" si="10"/>
        <v>Late</v>
      </c>
      <c r="L216">
        <f t="shared" ca="1" si="11"/>
        <v>654</v>
      </c>
    </row>
    <row r="217" spans="1:12" x14ac:dyDescent="0.3">
      <c r="A217" t="s">
        <v>224</v>
      </c>
      <c r="B217" t="s">
        <v>810</v>
      </c>
      <c r="C217" s="3">
        <v>45491</v>
      </c>
      <c r="D217" s="3">
        <v>45521</v>
      </c>
      <c r="E217">
        <v>2978.71</v>
      </c>
      <c r="F217" t="s">
        <v>816</v>
      </c>
      <c r="G217" t="s">
        <v>820</v>
      </c>
      <c r="H217" s="3">
        <v>45531</v>
      </c>
      <c r="I217" t="s">
        <v>822</v>
      </c>
      <c r="J217">
        <f t="shared" si="9"/>
        <v>10</v>
      </c>
      <c r="K217" t="str">
        <f t="shared" si="10"/>
        <v>Late</v>
      </c>
      <c r="L217">
        <f t="shared" ca="1" si="11"/>
        <v>612</v>
      </c>
    </row>
    <row r="218" spans="1:12" x14ac:dyDescent="0.3">
      <c r="A218" t="s">
        <v>225</v>
      </c>
      <c r="B218" t="s">
        <v>812</v>
      </c>
      <c r="C218" s="3">
        <v>45326</v>
      </c>
      <c r="D218" s="3">
        <v>45356</v>
      </c>
      <c r="E218">
        <v>915.17</v>
      </c>
      <c r="F218" t="s">
        <v>816</v>
      </c>
      <c r="G218" t="s">
        <v>821</v>
      </c>
      <c r="H218" s="3">
        <v>45356</v>
      </c>
      <c r="I218" t="s">
        <v>822</v>
      </c>
      <c r="J218">
        <f t="shared" si="9"/>
        <v>0</v>
      </c>
      <c r="K218" t="str">
        <f t="shared" si="10"/>
        <v>On-Time</v>
      </c>
      <c r="L218">
        <f t="shared" ca="1" si="11"/>
        <v>777</v>
      </c>
    </row>
    <row r="219" spans="1:12" x14ac:dyDescent="0.3">
      <c r="A219" t="s">
        <v>226</v>
      </c>
      <c r="B219" t="s">
        <v>810</v>
      </c>
      <c r="C219" s="3">
        <v>45109</v>
      </c>
      <c r="D219" s="3">
        <v>45139</v>
      </c>
      <c r="E219">
        <v>3188.52</v>
      </c>
      <c r="F219" t="s">
        <v>816</v>
      </c>
      <c r="G219" t="s">
        <v>820</v>
      </c>
      <c r="H219" s="3">
        <v>45139</v>
      </c>
      <c r="I219" t="s">
        <v>822</v>
      </c>
      <c r="J219">
        <f t="shared" si="9"/>
        <v>0</v>
      </c>
      <c r="K219" t="str">
        <f t="shared" si="10"/>
        <v>On-Time</v>
      </c>
      <c r="L219">
        <f t="shared" ca="1" si="11"/>
        <v>994</v>
      </c>
    </row>
    <row r="220" spans="1:12" x14ac:dyDescent="0.3">
      <c r="A220" t="s">
        <v>227</v>
      </c>
      <c r="B220" t="s">
        <v>811</v>
      </c>
      <c r="C220" s="3">
        <v>45432</v>
      </c>
      <c r="D220" s="3">
        <v>45462</v>
      </c>
      <c r="E220">
        <v>2307.79</v>
      </c>
      <c r="F220" t="s">
        <v>817</v>
      </c>
      <c r="G220" t="s">
        <v>820</v>
      </c>
      <c r="H220" s="3">
        <v>45465</v>
      </c>
      <c r="I220" t="s">
        <v>822</v>
      </c>
      <c r="J220">
        <f t="shared" si="9"/>
        <v>3</v>
      </c>
      <c r="K220" t="str">
        <f t="shared" si="10"/>
        <v>Late</v>
      </c>
      <c r="L220">
        <f t="shared" ca="1" si="11"/>
        <v>671</v>
      </c>
    </row>
    <row r="221" spans="1:12" x14ac:dyDescent="0.3">
      <c r="A221" t="s">
        <v>228</v>
      </c>
      <c r="B221" t="s">
        <v>811</v>
      </c>
      <c r="C221" s="3">
        <v>45251</v>
      </c>
      <c r="D221" s="3">
        <v>45281</v>
      </c>
      <c r="E221">
        <v>2903.71</v>
      </c>
      <c r="F221" t="s">
        <v>814</v>
      </c>
      <c r="G221" t="s">
        <v>820</v>
      </c>
      <c r="H221" s="3">
        <v>45287</v>
      </c>
      <c r="I221" t="s">
        <v>822</v>
      </c>
      <c r="J221">
        <f t="shared" si="9"/>
        <v>6</v>
      </c>
      <c r="K221" t="str">
        <f t="shared" si="10"/>
        <v>Late</v>
      </c>
      <c r="L221">
        <f t="shared" ca="1" si="11"/>
        <v>852</v>
      </c>
    </row>
    <row r="222" spans="1:12" x14ac:dyDescent="0.3">
      <c r="A222" t="s">
        <v>229</v>
      </c>
      <c r="B222" t="s">
        <v>811</v>
      </c>
      <c r="C222" s="3">
        <v>45432</v>
      </c>
      <c r="D222" s="3">
        <v>45462</v>
      </c>
      <c r="E222">
        <v>2565.02</v>
      </c>
      <c r="F222" t="s">
        <v>817</v>
      </c>
      <c r="G222" t="s">
        <v>820</v>
      </c>
      <c r="H222" s="3">
        <v>45468</v>
      </c>
      <c r="I222" t="s">
        <v>822</v>
      </c>
      <c r="J222">
        <f t="shared" si="9"/>
        <v>6</v>
      </c>
      <c r="K222" t="str">
        <f t="shared" si="10"/>
        <v>Late</v>
      </c>
      <c r="L222">
        <f t="shared" ca="1" si="11"/>
        <v>671</v>
      </c>
    </row>
    <row r="223" spans="1:12" x14ac:dyDescent="0.3">
      <c r="A223" t="s">
        <v>230</v>
      </c>
      <c r="B223" t="s">
        <v>810</v>
      </c>
      <c r="C223" s="3">
        <v>45790</v>
      </c>
      <c r="D223" s="3">
        <v>45820</v>
      </c>
      <c r="E223">
        <v>2121.21</v>
      </c>
      <c r="F223" t="s">
        <v>817</v>
      </c>
      <c r="G223" t="s">
        <v>819</v>
      </c>
      <c r="H223" s="3">
        <v>45825</v>
      </c>
      <c r="I223" t="s">
        <v>822</v>
      </c>
      <c r="J223">
        <f t="shared" si="9"/>
        <v>5</v>
      </c>
      <c r="K223" t="str">
        <f t="shared" si="10"/>
        <v>Pending</v>
      </c>
      <c r="L223">
        <f t="shared" ca="1" si="11"/>
        <v>313</v>
      </c>
    </row>
    <row r="224" spans="1:12" x14ac:dyDescent="0.3">
      <c r="A224" t="s">
        <v>231</v>
      </c>
      <c r="B224" t="s">
        <v>810</v>
      </c>
      <c r="C224" s="3">
        <v>45748</v>
      </c>
      <c r="D224" s="3">
        <v>45778</v>
      </c>
      <c r="E224">
        <v>1273.9000000000001</v>
      </c>
      <c r="F224" t="s">
        <v>814</v>
      </c>
      <c r="G224" t="s">
        <v>819</v>
      </c>
      <c r="H224" s="3">
        <v>45781</v>
      </c>
      <c r="I224" t="s">
        <v>822</v>
      </c>
      <c r="J224">
        <f t="shared" si="9"/>
        <v>3</v>
      </c>
      <c r="K224" t="str">
        <f t="shared" si="10"/>
        <v>Pending</v>
      </c>
      <c r="L224">
        <f t="shared" ca="1" si="11"/>
        <v>355</v>
      </c>
    </row>
    <row r="225" spans="1:12" x14ac:dyDescent="0.3">
      <c r="A225" t="s">
        <v>232</v>
      </c>
      <c r="B225" t="s">
        <v>810</v>
      </c>
      <c r="C225" s="3">
        <v>45711</v>
      </c>
      <c r="D225" s="3">
        <v>45741</v>
      </c>
      <c r="E225">
        <v>3975.5</v>
      </c>
      <c r="F225" t="s">
        <v>818</v>
      </c>
      <c r="G225" t="s">
        <v>819</v>
      </c>
      <c r="H225" s="3">
        <v>45750</v>
      </c>
      <c r="I225" t="s">
        <v>822</v>
      </c>
      <c r="J225">
        <f t="shared" si="9"/>
        <v>9</v>
      </c>
      <c r="K225" t="str">
        <f t="shared" si="10"/>
        <v>Pending</v>
      </c>
      <c r="L225">
        <f t="shared" ca="1" si="11"/>
        <v>392</v>
      </c>
    </row>
    <row r="226" spans="1:12" x14ac:dyDescent="0.3">
      <c r="A226" t="s">
        <v>233</v>
      </c>
      <c r="B226" t="s">
        <v>809</v>
      </c>
      <c r="C226" s="3">
        <v>45588</v>
      </c>
      <c r="D226" s="3">
        <v>45618</v>
      </c>
      <c r="E226">
        <v>2421.44</v>
      </c>
      <c r="F226" t="s">
        <v>818</v>
      </c>
      <c r="G226" t="s">
        <v>819</v>
      </c>
      <c r="H226" s="3">
        <v>45621</v>
      </c>
      <c r="I226" t="s">
        <v>822</v>
      </c>
      <c r="J226">
        <f t="shared" si="9"/>
        <v>3</v>
      </c>
      <c r="K226" t="str">
        <f t="shared" si="10"/>
        <v>Pending</v>
      </c>
      <c r="L226">
        <f t="shared" ca="1" si="11"/>
        <v>515</v>
      </c>
    </row>
    <row r="227" spans="1:12" x14ac:dyDescent="0.3">
      <c r="A227" t="s">
        <v>234</v>
      </c>
      <c r="B227" t="s">
        <v>809</v>
      </c>
      <c r="C227" s="3">
        <v>45688</v>
      </c>
      <c r="D227" s="3">
        <v>45718</v>
      </c>
      <c r="E227">
        <v>2458.0100000000002</v>
      </c>
      <c r="F227" t="s">
        <v>814</v>
      </c>
      <c r="G227" t="s">
        <v>819</v>
      </c>
      <c r="H227" s="3">
        <v>45719</v>
      </c>
      <c r="I227" t="s">
        <v>822</v>
      </c>
      <c r="J227">
        <f t="shared" si="9"/>
        <v>1</v>
      </c>
      <c r="K227" t="str">
        <f t="shared" si="10"/>
        <v>Pending</v>
      </c>
      <c r="L227">
        <f t="shared" ca="1" si="11"/>
        <v>415</v>
      </c>
    </row>
    <row r="228" spans="1:12" x14ac:dyDescent="0.3">
      <c r="A228" t="s">
        <v>235</v>
      </c>
      <c r="B228" t="s">
        <v>809</v>
      </c>
      <c r="C228" s="3">
        <v>45136</v>
      </c>
      <c r="D228" s="3">
        <v>45166</v>
      </c>
      <c r="E228">
        <v>2854.39</v>
      </c>
      <c r="F228" t="s">
        <v>814</v>
      </c>
      <c r="G228" t="s">
        <v>821</v>
      </c>
      <c r="H228" s="3">
        <v>45166</v>
      </c>
      <c r="I228" t="s">
        <v>822</v>
      </c>
      <c r="J228">
        <f t="shared" si="9"/>
        <v>0</v>
      </c>
      <c r="K228" t="str">
        <f t="shared" si="10"/>
        <v>On-Time</v>
      </c>
      <c r="L228">
        <f t="shared" ca="1" si="11"/>
        <v>967</v>
      </c>
    </row>
    <row r="229" spans="1:12" x14ac:dyDescent="0.3">
      <c r="A229" t="s">
        <v>236</v>
      </c>
      <c r="B229" t="s">
        <v>810</v>
      </c>
      <c r="C229" s="3">
        <v>45319</v>
      </c>
      <c r="D229" s="3">
        <v>45349</v>
      </c>
      <c r="E229">
        <v>2918.95</v>
      </c>
      <c r="F229" t="s">
        <v>814</v>
      </c>
      <c r="G229" t="s">
        <v>819</v>
      </c>
      <c r="H229" s="3">
        <v>45356</v>
      </c>
      <c r="I229" t="s">
        <v>822</v>
      </c>
      <c r="J229">
        <f t="shared" si="9"/>
        <v>7</v>
      </c>
      <c r="K229" t="str">
        <f t="shared" si="10"/>
        <v>Pending</v>
      </c>
      <c r="L229">
        <f t="shared" ca="1" si="11"/>
        <v>784</v>
      </c>
    </row>
    <row r="230" spans="1:12" x14ac:dyDescent="0.3">
      <c r="A230" t="s">
        <v>237</v>
      </c>
      <c r="B230" t="s">
        <v>812</v>
      </c>
      <c r="C230" s="3">
        <v>44997</v>
      </c>
      <c r="D230" s="3">
        <v>45027</v>
      </c>
      <c r="E230">
        <v>328.97</v>
      </c>
      <c r="F230" t="s">
        <v>817</v>
      </c>
      <c r="G230" t="s">
        <v>821</v>
      </c>
      <c r="H230" s="3">
        <v>45027</v>
      </c>
      <c r="I230" t="s">
        <v>822</v>
      </c>
      <c r="J230">
        <f t="shared" si="9"/>
        <v>0</v>
      </c>
      <c r="K230" t="str">
        <f t="shared" si="10"/>
        <v>On-Time</v>
      </c>
      <c r="L230">
        <f t="shared" ca="1" si="11"/>
        <v>1106</v>
      </c>
    </row>
    <row r="231" spans="1:12" x14ac:dyDescent="0.3">
      <c r="A231" t="s">
        <v>238</v>
      </c>
      <c r="B231" t="s">
        <v>812</v>
      </c>
      <c r="C231" s="3">
        <v>45523</v>
      </c>
      <c r="D231" s="3">
        <v>45553</v>
      </c>
      <c r="E231">
        <v>1213.71</v>
      </c>
      <c r="F231" t="s">
        <v>817</v>
      </c>
      <c r="G231" t="s">
        <v>819</v>
      </c>
      <c r="H231" s="3">
        <v>45563</v>
      </c>
      <c r="I231" t="s">
        <v>822</v>
      </c>
      <c r="J231">
        <f t="shared" si="9"/>
        <v>10</v>
      </c>
      <c r="K231" t="str">
        <f t="shared" si="10"/>
        <v>Pending</v>
      </c>
      <c r="L231">
        <f t="shared" ca="1" si="11"/>
        <v>580</v>
      </c>
    </row>
    <row r="232" spans="1:12" x14ac:dyDescent="0.3">
      <c r="A232" t="s">
        <v>239</v>
      </c>
      <c r="B232" t="s">
        <v>811</v>
      </c>
      <c r="C232" s="3">
        <v>45772</v>
      </c>
      <c r="D232" s="3">
        <v>45802</v>
      </c>
      <c r="E232">
        <v>454.59</v>
      </c>
      <c r="F232" t="s">
        <v>817</v>
      </c>
      <c r="G232" t="s">
        <v>819</v>
      </c>
      <c r="H232" s="3">
        <v>45810</v>
      </c>
      <c r="I232" t="s">
        <v>822</v>
      </c>
      <c r="J232">
        <f t="shared" si="9"/>
        <v>8</v>
      </c>
      <c r="K232" t="str">
        <f t="shared" si="10"/>
        <v>Pending</v>
      </c>
      <c r="L232">
        <f t="shared" ca="1" si="11"/>
        <v>331</v>
      </c>
    </row>
    <row r="233" spans="1:12" x14ac:dyDescent="0.3">
      <c r="A233" t="s">
        <v>240</v>
      </c>
      <c r="B233" t="s">
        <v>811</v>
      </c>
      <c r="C233" s="3">
        <v>45040</v>
      </c>
      <c r="D233" s="3">
        <v>45070</v>
      </c>
      <c r="E233">
        <v>4278.37</v>
      </c>
      <c r="F233" t="s">
        <v>815</v>
      </c>
      <c r="G233" t="s">
        <v>821</v>
      </c>
      <c r="H233" s="3">
        <v>45070</v>
      </c>
      <c r="I233" t="s">
        <v>822</v>
      </c>
      <c r="J233">
        <f t="shared" si="9"/>
        <v>0</v>
      </c>
      <c r="K233" t="str">
        <f t="shared" si="10"/>
        <v>On-Time</v>
      </c>
      <c r="L233">
        <f t="shared" ca="1" si="11"/>
        <v>1063</v>
      </c>
    </row>
    <row r="234" spans="1:12" x14ac:dyDescent="0.3">
      <c r="A234" t="s">
        <v>241</v>
      </c>
      <c r="B234" t="s">
        <v>809</v>
      </c>
      <c r="C234" s="3">
        <v>45524</v>
      </c>
      <c r="D234" s="3">
        <v>45554</v>
      </c>
      <c r="E234">
        <v>3048.16</v>
      </c>
      <c r="F234" t="s">
        <v>817</v>
      </c>
      <c r="G234" t="s">
        <v>819</v>
      </c>
      <c r="H234" s="3">
        <v>45552</v>
      </c>
      <c r="I234" t="s">
        <v>822</v>
      </c>
      <c r="J234">
        <f t="shared" si="9"/>
        <v>-2</v>
      </c>
      <c r="K234" t="str">
        <f t="shared" si="10"/>
        <v>Pending</v>
      </c>
      <c r="L234">
        <f t="shared" ca="1" si="11"/>
        <v>579</v>
      </c>
    </row>
    <row r="235" spans="1:12" x14ac:dyDescent="0.3">
      <c r="A235" t="s">
        <v>242</v>
      </c>
      <c r="B235" t="s">
        <v>812</v>
      </c>
      <c r="C235" s="3">
        <v>45065</v>
      </c>
      <c r="D235" s="3">
        <v>45095</v>
      </c>
      <c r="E235">
        <v>4611.88</v>
      </c>
      <c r="F235" t="s">
        <v>818</v>
      </c>
      <c r="G235" t="s">
        <v>820</v>
      </c>
      <c r="H235" s="3">
        <v>45102</v>
      </c>
      <c r="I235" t="s">
        <v>822</v>
      </c>
      <c r="J235">
        <f t="shared" si="9"/>
        <v>7</v>
      </c>
      <c r="K235" t="str">
        <f t="shared" si="10"/>
        <v>Late</v>
      </c>
      <c r="L235">
        <f t="shared" ca="1" si="11"/>
        <v>1038</v>
      </c>
    </row>
    <row r="236" spans="1:12" x14ac:dyDescent="0.3">
      <c r="A236" t="s">
        <v>243</v>
      </c>
      <c r="B236" t="s">
        <v>809</v>
      </c>
      <c r="C236" s="3">
        <v>45315</v>
      </c>
      <c r="D236" s="3">
        <v>45345</v>
      </c>
      <c r="E236">
        <v>2206.77</v>
      </c>
      <c r="F236" t="s">
        <v>817</v>
      </c>
      <c r="G236" t="s">
        <v>819</v>
      </c>
      <c r="H236" s="3">
        <v>45347</v>
      </c>
      <c r="I236" t="s">
        <v>822</v>
      </c>
      <c r="J236">
        <f t="shared" si="9"/>
        <v>2</v>
      </c>
      <c r="K236" t="str">
        <f t="shared" si="10"/>
        <v>Pending</v>
      </c>
      <c r="L236">
        <f t="shared" ca="1" si="11"/>
        <v>788</v>
      </c>
    </row>
    <row r="237" spans="1:12" x14ac:dyDescent="0.3">
      <c r="A237" t="s">
        <v>244</v>
      </c>
      <c r="B237" t="s">
        <v>809</v>
      </c>
      <c r="C237" s="3">
        <v>45269</v>
      </c>
      <c r="D237" s="3">
        <v>45299</v>
      </c>
      <c r="E237">
        <v>1191.52</v>
      </c>
      <c r="F237" t="s">
        <v>817</v>
      </c>
      <c r="G237" t="s">
        <v>821</v>
      </c>
      <c r="H237" s="3">
        <v>45299</v>
      </c>
      <c r="I237" t="s">
        <v>822</v>
      </c>
      <c r="J237">
        <f t="shared" si="9"/>
        <v>0</v>
      </c>
      <c r="K237" t="str">
        <f t="shared" si="10"/>
        <v>On-Time</v>
      </c>
      <c r="L237">
        <f t="shared" ca="1" si="11"/>
        <v>834</v>
      </c>
    </row>
    <row r="238" spans="1:12" x14ac:dyDescent="0.3">
      <c r="A238" t="s">
        <v>245</v>
      </c>
      <c r="B238" t="s">
        <v>809</v>
      </c>
      <c r="C238" s="3">
        <v>44938</v>
      </c>
      <c r="D238" s="3">
        <v>44968</v>
      </c>
      <c r="E238">
        <v>1715.9</v>
      </c>
      <c r="F238" t="s">
        <v>815</v>
      </c>
      <c r="G238" t="s">
        <v>820</v>
      </c>
      <c r="H238" s="3">
        <v>44978</v>
      </c>
      <c r="I238" t="s">
        <v>822</v>
      </c>
      <c r="J238">
        <f t="shared" si="9"/>
        <v>10</v>
      </c>
      <c r="K238" t="str">
        <f t="shared" si="10"/>
        <v>Late</v>
      </c>
      <c r="L238">
        <f t="shared" ca="1" si="11"/>
        <v>1165</v>
      </c>
    </row>
    <row r="239" spans="1:12" x14ac:dyDescent="0.3">
      <c r="A239" t="s">
        <v>246</v>
      </c>
      <c r="B239" t="s">
        <v>810</v>
      </c>
      <c r="C239" s="3">
        <v>44956</v>
      </c>
      <c r="D239" s="3">
        <v>44986</v>
      </c>
      <c r="E239">
        <v>2281.3000000000002</v>
      </c>
      <c r="F239" t="s">
        <v>816</v>
      </c>
      <c r="G239" t="s">
        <v>821</v>
      </c>
      <c r="H239" s="3">
        <v>44986</v>
      </c>
      <c r="I239" t="s">
        <v>822</v>
      </c>
      <c r="J239">
        <f t="shared" si="9"/>
        <v>0</v>
      </c>
      <c r="K239" t="str">
        <f t="shared" si="10"/>
        <v>On-Time</v>
      </c>
      <c r="L239">
        <f t="shared" ca="1" si="11"/>
        <v>1147</v>
      </c>
    </row>
    <row r="240" spans="1:12" x14ac:dyDescent="0.3">
      <c r="A240" t="s">
        <v>247</v>
      </c>
      <c r="B240" t="s">
        <v>811</v>
      </c>
      <c r="C240" s="3">
        <v>45362</v>
      </c>
      <c r="D240" s="3">
        <v>45392</v>
      </c>
      <c r="E240">
        <v>3825.33</v>
      </c>
      <c r="F240" t="s">
        <v>816</v>
      </c>
      <c r="G240" t="s">
        <v>819</v>
      </c>
      <c r="H240" s="3">
        <v>45400</v>
      </c>
      <c r="I240" t="s">
        <v>822</v>
      </c>
      <c r="J240">
        <f t="shared" si="9"/>
        <v>8</v>
      </c>
      <c r="K240" t="str">
        <f t="shared" si="10"/>
        <v>Pending</v>
      </c>
      <c r="L240">
        <f t="shared" ca="1" si="11"/>
        <v>741</v>
      </c>
    </row>
    <row r="241" spans="1:12" x14ac:dyDescent="0.3">
      <c r="A241" t="s">
        <v>248</v>
      </c>
      <c r="B241" t="s">
        <v>811</v>
      </c>
      <c r="C241" s="3">
        <v>45008</v>
      </c>
      <c r="D241" s="3">
        <v>45038</v>
      </c>
      <c r="E241">
        <v>4771.6000000000004</v>
      </c>
      <c r="F241" t="s">
        <v>818</v>
      </c>
      <c r="G241" t="s">
        <v>820</v>
      </c>
      <c r="H241" s="3">
        <v>45036</v>
      </c>
      <c r="I241" t="s">
        <v>822</v>
      </c>
      <c r="J241">
        <f t="shared" si="9"/>
        <v>-2</v>
      </c>
      <c r="K241" t="str">
        <f t="shared" si="10"/>
        <v>On-Time</v>
      </c>
      <c r="L241">
        <f t="shared" ca="1" si="11"/>
        <v>1095</v>
      </c>
    </row>
    <row r="242" spans="1:12" x14ac:dyDescent="0.3">
      <c r="A242" t="s">
        <v>249</v>
      </c>
      <c r="B242" t="s">
        <v>811</v>
      </c>
      <c r="C242" s="3">
        <v>45474</v>
      </c>
      <c r="D242" s="3">
        <v>45504</v>
      </c>
      <c r="E242">
        <v>3536.61</v>
      </c>
      <c r="F242" t="s">
        <v>817</v>
      </c>
      <c r="G242" t="s">
        <v>820</v>
      </c>
      <c r="H242" s="3">
        <v>45509</v>
      </c>
      <c r="I242" t="s">
        <v>822</v>
      </c>
      <c r="J242">
        <f t="shared" si="9"/>
        <v>5</v>
      </c>
      <c r="K242" t="str">
        <f t="shared" si="10"/>
        <v>Late</v>
      </c>
      <c r="L242">
        <f t="shared" ca="1" si="11"/>
        <v>629</v>
      </c>
    </row>
    <row r="243" spans="1:12" x14ac:dyDescent="0.3">
      <c r="A243" t="s">
        <v>250</v>
      </c>
      <c r="B243" t="s">
        <v>813</v>
      </c>
      <c r="C243" s="3">
        <v>45087</v>
      </c>
      <c r="D243" s="3">
        <v>45117</v>
      </c>
      <c r="E243">
        <v>4873.4799999999996</v>
      </c>
      <c r="F243" t="s">
        <v>814</v>
      </c>
      <c r="G243" t="s">
        <v>821</v>
      </c>
      <c r="H243" s="3">
        <v>45117</v>
      </c>
      <c r="I243" t="s">
        <v>822</v>
      </c>
      <c r="J243">
        <f t="shared" si="9"/>
        <v>0</v>
      </c>
      <c r="K243" t="str">
        <f t="shared" si="10"/>
        <v>On-Time</v>
      </c>
      <c r="L243">
        <f t="shared" ca="1" si="11"/>
        <v>1016</v>
      </c>
    </row>
    <row r="244" spans="1:12" x14ac:dyDescent="0.3">
      <c r="A244" t="s">
        <v>251</v>
      </c>
      <c r="B244" t="s">
        <v>809</v>
      </c>
      <c r="C244" s="3">
        <v>45618</v>
      </c>
      <c r="D244" s="3">
        <v>45648</v>
      </c>
      <c r="E244">
        <v>3763.83</v>
      </c>
      <c r="F244" t="s">
        <v>818</v>
      </c>
      <c r="G244" t="s">
        <v>820</v>
      </c>
      <c r="H244" s="3">
        <v>45646</v>
      </c>
      <c r="I244" t="s">
        <v>822</v>
      </c>
      <c r="J244">
        <f t="shared" si="9"/>
        <v>-2</v>
      </c>
      <c r="K244" t="str">
        <f t="shared" si="10"/>
        <v>On-Time</v>
      </c>
      <c r="L244">
        <f t="shared" ca="1" si="11"/>
        <v>485</v>
      </c>
    </row>
    <row r="245" spans="1:12" x14ac:dyDescent="0.3">
      <c r="A245" t="s">
        <v>252</v>
      </c>
      <c r="B245" t="s">
        <v>809</v>
      </c>
      <c r="C245" s="3">
        <v>45045</v>
      </c>
      <c r="D245" s="3">
        <v>45075</v>
      </c>
      <c r="E245">
        <v>1956.76</v>
      </c>
      <c r="F245" t="s">
        <v>815</v>
      </c>
      <c r="G245" t="s">
        <v>820</v>
      </c>
      <c r="H245" s="3">
        <v>45079</v>
      </c>
      <c r="I245" t="s">
        <v>822</v>
      </c>
      <c r="J245">
        <f t="shared" si="9"/>
        <v>4</v>
      </c>
      <c r="K245" t="str">
        <f t="shared" si="10"/>
        <v>Late</v>
      </c>
      <c r="L245">
        <f t="shared" ca="1" si="11"/>
        <v>1058</v>
      </c>
    </row>
    <row r="246" spans="1:12" x14ac:dyDescent="0.3">
      <c r="A246" t="s">
        <v>253</v>
      </c>
      <c r="B246" t="s">
        <v>809</v>
      </c>
      <c r="C246" s="3">
        <v>45396</v>
      </c>
      <c r="D246" s="3">
        <v>45426</v>
      </c>
      <c r="E246">
        <v>4541.03</v>
      </c>
      <c r="F246" t="s">
        <v>818</v>
      </c>
      <c r="G246" t="s">
        <v>820</v>
      </c>
      <c r="H246" s="3">
        <v>45434</v>
      </c>
      <c r="I246" t="s">
        <v>822</v>
      </c>
      <c r="J246">
        <f t="shared" si="9"/>
        <v>8</v>
      </c>
      <c r="K246" t="str">
        <f t="shared" si="10"/>
        <v>Late</v>
      </c>
      <c r="L246">
        <f t="shared" ca="1" si="11"/>
        <v>707</v>
      </c>
    </row>
    <row r="247" spans="1:12" x14ac:dyDescent="0.3">
      <c r="A247" t="s">
        <v>254</v>
      </c>
      <c r="B247" t="s">
        <v>811</v>
      </c>
      <c r="C247" s="3">
        <v>45203</v>
      </c>
      <c r="D247" s="3">
        <v>45233</v>
      </c>
      <c r="E247">
        <v>3118.33</v>
      </c>
      <c r="F247" t="s">
        <v>817</v>
      </c>
      <c r="G247" t="s">
        <v>820</v>
      </c>
      <c r="H247" s="3">
        <v>45233</v>
      </c>
      <c r="I247" t="s">
        <v>822</v>
      </c>
      <c r="J247">
        <f t="shared" si="9"/>
        <v>0</v>
      </c>
      <c r="K247" t="str">
        <f t="shared" si="10"/>
        <v>On-Time</v>
      </c>
      <c r="L247">
        <f t="shared" ca="1" si="11"/>
        <v>900</v>
      </c>
    </row>
    <row r="248" spans="1:12" x14ac:dyDescent="0.3">
      <c r="A248" t="s">
        <v>255</v>
      </c>
      <c r="B248" t="s">
        <v>811</v>
      </c>
      <c r="C248" s="3">
        <v>45503</v>
      </c>
      <c r="D248" s="3">
        <v>45533</v>
      </c>
      <c r="E248">
        <v>4825.22</v>
      </c>
      <c r="F248" t="s">
        <v>815</v>
      </c>
      <c r="G248" t="s">
        <v>821</v>
      </c>
      <c r="H248" s="3">
        <v>45533</v>
      </c>
      <c r="I248" t="s">
        <v>822</v>
      </c>
      <c r="J248">
        <f t="shared" si="9"/>
        <v>0</v>
      </c>
      <c r="K248" t="str">
        <f t="shared" si="10"/>
        <v>On-Time</v>
      </c>
      <c r="L248">
        <f t="shared" ca="1" si="11"/>
        <v>600</v>
      </c>
    </row>
    <row r="249" spans="1:12" x14ac:dyDescent="0.3">
      <c r="A249" t="s">
        <v>256</v>
      </c>
      <c r="B249" t="s">
        <v>813</v>
      </c>
      <c r="C249" s="3">
        <v>45712</v>
      </c>
      <c r="D249" s="3">
        <v>45742</v>
      </c>
      <c r="E249">
        <v>3534.62</v>
      </c>
      <c r="F249" t="s">
        <v>818</v>
      </c>
      <c r="G249" t="s">
        <v>820</v>
      </c>
      <c r="H249" s="3">
        <v>45743</v>
      </c>
      <c r="I249" t="s">
        <v>822</v>
      </c>
      <c r="J249">
        <f t="shared" si="9"/>
        <v>1</v>
      </c>
      <c r="K249" t="str">
        <f t="shared" si="10"/>
        <v>Late</v>
      </c>
      <c r="L249">
        <f t="shared" ca="1" si="11"/>
        <v>391</v>
      </c>
    </row>
    <row r="250" spans="1:12" x14ac:dyDescent="0.3">
      <c r="A250" t="s">
        <v>257</v>
      </c>
      <c r="B250" t="s">
        <v>811</v>
      </c>
      <c r="C250" s="3">
        <v>45075</v>
      </c>
      <c r="D250" s="3">
        <v>45105</v>
      </c>
      <c r="E250">
        <v>2784.2</v>
      </c>
      <c r="F250" t="s">
        <v>816</v>
      </c>
      <c r="G250" t="s">
        <v>821</v>
      </c>
      <c r="H250" s="3">
        <v>45105</v>
      </c>
      <c r="I250" t="s">
        <v>822</v>
      </c>
      <c r="J250">
        <f t="shared" si="9"/>
        <v>0</v>
      </c>
      <c r="K250" t="str">
        <f t="shared" si="10"/>
        <v>On-Time</v>
      </c>
      <c r="L250">
        <f t="shared" ca="1" si="11"/>
        <v>1028</v>
      </c>
    </row>
    <row r="251" spans="1:12" x14ac:dyDescent="0.3">
      <c r="A251" t="s">
        <v>258</v>
      </c>
      <c r="B251" t="s">
        <v>810</v>
      </c>
      <c r="C251" s="3">
        <v>45792</v>
      </c>
      <c r="D251" s="3">
        <v>45822</v>
      </c>
      <c r="E251">
        <v>4703.79</v>
      </c>
      <c r="F251" t="s">
        <v>818</v>
      </c>
      <c r="G251" t="s">
        <v>819</v>
      </c>
      <c r="H251" s="3">
        <v>45831</v>
      </c>
      <c r="I251" t="s">
        <v>822</v>
      </c>
      <c r="J251">
        <f t="shared" si="9"/>
        <v>9</v>
      </c>
      <c r="K251" t="str">
        <f t="shared" si="10"/>
        <v>Pending</v>
      </c>
      <c r="L251">
        <f t="shared" ca="1" si="11"/>
        <v>311</v>
      </c>
    </row>
    <row r="252" spans="1:12" x14ac:dyDescent="0.3">
      <c r="A252" t="s">
        <v>259</v>
      </c>
      <c r="B252" t="s">
        <v>813</v>
      </c>
      <c r="C252" s="3">
        <v>45423</v>
      </c>
      <c r="D252" s="3">
        <v>45453</v>
      </c>
      <c r="E252">
        <v>3586.26</v>
      </c>
      <c r="F252" t="s">
        <v>818</v>
      </c>
      <c r="G252" t="s">
        <v>819</v>
      </c>
      <c r="H252" s="3">
        <v>45457</v>
      </c>
      <c r="I252" t="s">
        <v>822</v>
      </c>
      <c r="J252">
        <f t="shared" si="9"/>
        <v>4</v>
      </c>
      <c r="K252" t="str">
        <f t="shared" si="10"/>
        <v>Pending</v>
      </c>
      <c r="L252">
        <f t="shared" ca="1" si="11"/>
        <v>680</v>
      </c>
    </row>
    <row r="253" spans="1:12" x14ac:dyDescent="0.3">
      <c r="A253" t="s">
        <v>260</v>
      </c>
      <c r="B253" t="s">
        <v>809</v>
      </c>
      <c r="C253" s="3">
        <v>45373</v>
      </c>
      <c r="D253" s="3">
        <v>45403</v>
      </c>
      <c r="E253">
        <v>2609.4499999999998</v>
      </c>
      <c r="F253" t="s">
        <v>817</v>
      </c>
      <c r="G253" t="s">
        <v>821</v>
      </c>
      <c r="H253" s="3">
        <v>45403</v>
      </c>
      <c r="I253" t="s">
        <v>822</v>
      </c>
      <c r="J253">
        <f t="shared" si="9"/>
        <v>0</v>
      </c>
      <c r="K253" t="str">
        <f t="shared" si="10"/>
        <v>On-Time</v>
      </c>
      <c r="L253">
        <f t="shared" ca="1" si="11"/>
        <v>730</v>
      </c>
    </row>
    <row r="254" spans="1:12" x14ac:dyDescent="0.3">
      <c r="A254" t="s">
        <v>261</v>
      </c>
      <c r="B254" t="s">
        <v>809</v>
      </c>
      <c r="C254" s="3">
        <v>44999</v>
      </c>
      <c r="D254" s="3">
        <v>45029</v>
      </c>
      <c r="E254">
        <v>527.17999999999995</v>
      </c>
      <c r="F254" t="s">
        <v>816</v>
      </c>
      <c r="G254" t="s">
        <v>821</v>
      </c>
      <c r="H254" s="3">
        <v>45029</v>
      </c>
      <c r="I254" t="s">
        <v>822</v>
      </c>
      <c r="J254">
        <f t="shared" si="9"/>
        <v>0</v>
      </c>
      <c r="K254" t="str">
        <f t="shared" si="10"/>
        <v>On-Time</v>
      </c>
      <c r="L254">
        <f t="shared" ca="1" si="11"/>
        <v>1104</v>
      </c>
    </row>
    <row r="255" spans="1:12" x14ac:dyDescent="0.3">
      <c r="A255" t="s">
        <v>262</v>
      </c>
      <c r="B255" t="s">
        <v>812</v>
      </c>
      <c r="C255" s="3">
        <v>45086</v>
      </c>
      <c r="D255" s="3">
        <v>45116</v>
      </c>
      <c r="E255">
        <v>3705.03</v>
      </c>
      <c r="F255" t="s">
        <v>818</v>
      </c>
      <c r="G255" t="s">
        <v>820</v>
      </c>
      <c r="H255" s="3">
        <v>45118</v>
      </c>
      <c r="I255" t="s">
        <v>822</v>
      </c>
      <c r="J255">
        <f t="shared" si="9"/>
        <v>2</v>
      </c>
      <c r="K255" t="str">
        <f t="shared" si="10"/>
        <v>Late</v>
      </c>
      <c r="L255">
        <f t="shared" ca="1" si="11"/>
        <v>1017</v>
      </c>
    </row>
    <row r="256" spans="1:12" x14ac:dyDescent="0.3">
      <c r="A256" t="s">
        <v>263</v>
      </c>
      <c r="B256" t="s">
        <v>809</v>
      </c>
      <c r="C256" s="3">
        <v>45440</v>
      </c>
      <c r="D256" s="3">
        <v>45470</v>
      </c>
      <c r="E256">
        <v>1274.56</v>
      </c>
      <c r="F256" t="s">
        <v>818</v>
      </c>
      <c r="G256" t="s">
        <v>819</v>
      </c>
      <c r="H256" s="3">
        <v>45478</v>
      </c>
      <c r="I256" t="s">
        <v>822</v>
      </c>
      <c r="J256">
        <f t="shared" si="9"/>
        <v>8</v>
      </c>
      <c r="K256" t="str">
        <f t="shared" si="10"/>
        <v>Pending</v>
      </c>
      <c r="L256">
        <f t="shared" ca="1" si="11"/>
        <v>663</v>
      </c>
    </row>
    <row r="257" spans="1:12" x14ac:dyDescent="0.3">
      <c r="A257" t="s">
        <v>264</v>
      </c>
      <c r="B257" t="s">
        <v>810</v>
      </c>
      <c r="C257" s="3">
        <v>45815</v>
      </c>
      <c r="D257" s="3">
        <v>45845</v>
      </c>
      <c r="E257">
        <v>928.12</v>
      </c>
      <c r="F257" t="s">
        <v>814</v>
      </c>
      <c r="G257" t="s">
        <v>821</v>
      </c>
      <c r="H257" s="3">
        <v>45845</v>
      </c>
      <c r="I257" t="s">
        <v>822</v>
      </c>
      <c r="J257">
        <f t="shared" si="9"/>
        <v>0</v>
      </c>
      <c r="K257" t="str">
        <f t="shared" si="10"/>
        <v>On-Time</v>
      </c>
      <c r="L257">
        <f t="shared" ca="1" si="11"/>
        <v>288</v>
      </c>
    </row>
    <row r="258" spans="1:12" x14ac:dyDescent="0.3">
      <c r="A258" t="s">
        <v>265</v>
      </c>
      <c r="B258" t="s">
        <v>813</v>
      </c>
      <c r="C258" s="3">
        <v>45695</v>
      </c>
      <c r="D258" s="3">
        <v>45725</v>
      </c>
      <c r="E258">
        <v>3380.41</v>
      </c>
      <c r="F258" t="s">
        <v>816</v>
      </c>
      <c r="G258" t="s">
        <v>820</v>
      </c>
      <c r="H258" s="3">
        <v>45725</v>
      </c>
      <c r="I258" t="s">
        <v>822</v>
      </c>
      <c r="J258">
        <f t="shared" si="9"/>
        <v>0</v>
      </c>
      <c r="K258" t="str">
        <f t="shared" si="10"/>
        <v>On-Time</v>
      </c>
      <c r="L258">
        <f t="shared" ca="1" si="11"/>
        <v>408</v>
      </c>
    </row>
    <row r="259" spans="1:12" x14ac:dyDescent="0.3">
      <c r="A259" t="s">
        <v>266</v>
      </c>
      <c r="B259" t="s">
        <v>813</v>
      </c>
      <c r="C259" s="3">
        <v>44949</v>
      </c>
      <c r="D259" s="3">
        <v>44979</v>
      </c>
      <c r="E259">
        <v>489.13</v>
      </c>
      <c r="F259" t="s">
        <v>814</v>
      </c>
      <c r="G259" t="s">
        <v>819</v>
      </c>
      <c r="H259" s="3">
        <v>44976</v>
      </c>
      <c r="I259" t="s">
        <v>822</v>
      </c>
      <c r="J259">
        <f t="shared" ref="J259:J322" si="12">IF(H259="",0,H259-D259)</f>
        <v>-3</v>
      </c>
      <c r="K259" t="str">
        <f t="shared" ref="K259:K322" si="13">IF(G259="Open","Pending",IF(H259&lt;=D259,"On-Time","Late"))</f>
        <v>Pending</v>
      </c>
      <c r="L259">
        <f t="shared" ref="L259:L322" ca="1" si="14">TODAY()-C259</f>
        <v>1154</v>
      </c>
    </row>
    <row r="260" spans="1:12" x14ac:dyDescent="0.3">
      <c r="A260" t="s">
        <v>267</v>
      </c>
      <c r="B260" t="s">
        <v>810</v>
      </c>
      <c r="C260" s="3">
        <v>45237</v>
      </c>
      <c r="D260" s="3">
        <v>45267</v>
      </c>
      <c r="E260">
        <v>2309.52</v>
      </c>
      <c r="F260" t="s">
        <v>817</v>
      </c>
      <c r="G260" t="s">
        <v>820</v>
      </c>
      <c r="H260" s="3">
        <v>45276</v>
      </c>
      <c r="I260" t="s">
        <v>822</v>
      </c>
      <c r="J260">
        <f t="shared" si="12"/>
        <v>9</v>
      </c>
      <c r="K260" t="str">
        <f t="shared" si="13"/>
        <v>Late</v>
      </c>
      <c r="L260">
        <f t="shared" ca="1" si="14"/>
        <v>866</v>
      </c>
    </row>
    <row r="261" spans="1:12" x14ac:dyDescent="0.3">
      <c r="A261" t="s">
        <v>268</v>
      </c>
      <c r="B261" t="s">
        <v>809</v>
      </c>
      <c r="C261" s="3">
        <v>45166</v>
      </c>
      <c r="D261" s="3">
        <v>45196</v>
      </c>
      <c r="E261">
        <v>2555.11</v>
      </c>
      <c r="F261" t="s">
        <v>815</v>
      </c>
      <c r="G261" t="s">
        <v>819</v>
      </c>
      <c r="H261" s="3">
        <v>45197</v>
      </c>
      <c r="I261" t="s">
        <v>822</v>
      </c>
      <c r="J261">
        <f t="shared" si="12"/>
        <v>1</v>
      </c>
      <c r="K261" t="str">
        <f t="shared" si="13"/>
        <v>Pending</v>
      </c>
      <c r="L261">
        <f t="shared" ca="1" si="14"/>
        <v>937</v>
      </c>
    </row>
    <row r="262" spans="1:12" x14ac:dyDescent="0.3">
      <c r="A262" t="s">
        <v>269</v>
      </c>
      <c r="B262" t="s">
        <v>811</v>
      </c>
      <c r="C262" s="3">
        <v>45373</v>
      </c>
      <c r="D262" s="3">
        <v>45403</v>
      </c>
      <c r="E262">
        <v>3084.27</v>
      </c>
      <c r="F262" t="s">
        <v>817</v>
      </c>
      <c r="G262" t="s">
        <v>821</v>
      </c>
      <c r="H262" s="3">
        <v>45403</v>
      </c>
      <c r="I262" t="s">
        <v>822</v>
      </c>
      <c r="J262">
        <f t="shared" si="12"/>
        <v>0</v>
      </c>
      <c r="K262" t="str">
        <f t="shared" si="13"/>
        <v>On-Time</v>
      </c>
      <c r="L262">
        <f t="shared" ca="1" si="14"/>
        <v>730</v>
      </c>
    </row>
    <row r="263" spans="1:12" x14ac:dyDescent="0.3">
      <c r="A263" t="s">
        <v>270</v>
      </c>
      <c r="B263" t="s">
        <v>809</v>
      </c>
      <c r="C263" s="3">
        <v>45693</v>
      </c>
      <c r="D263" s="3">
        <v>45723</v>
      </c>
      <c r="E263">
        <v>2226.56</v>
      </c>
      <c r="F263" t="s">
        <v>814</v>
      </c>
      <c r="G263" t="s">
        <v>821</v>
      </c>
      <c r="H263" s="3">
        <v>45723</v>
      </c>
      <c r="I263" t="s">
        <v>822</v>
      </c>
      <c r="J263">
        <f t="shared" si="12"/>
        <v>0</v>
      </c>
      <c r="K263" t="str">
        <f t="shared" si="13"/>
        <v>On-Time</v>
      </c>
      <c r="L263">
        <f t="shared" ca="1" si="14"/>
        <v>410</v>
      </c>
    </row>
    <row r="264" spans="1:12" x14ac:dyDescent="0.3">
      <c r="A264" t="s">
        <v>271</v>
      </c>
      <c r="B264" t="s">
        <v>812</v>
      </c>
      <c r="C264" s="3">
        <v>45316</v>
      </c>
      <c r="D264" s="3">
        <v>45346</v>
      </c>
      <c r="E264">
        <v>1081.44</v>
      </c>
      <c r="F264" t="s">
        <v>818</v>
      </c>
      <c r="G264" t="s">
        <v>821</v>
      </c>
      <c r="H264" s="3">
        <v>45346</v>
      </c>
      <c r="I264" t="s">
        <v>822</v>
      </c>
      <c r="J264">
        <f t="shared" si="12"/>
        <v>0</v>
      </c>
      <c r="K264" t="str">
        <f t="shared" si="13"/>
        <v>On-Time</v>
      </c>
      <c r="L264">
        <f t="shared" ca="1" si="14"/>
        <v>787</v>
      </c>
    </row>
    <row r="265" spans="1:12" x14ac:dyDescent="0.3">
      <c r="A265" t="s">
        <v>272</v>
      </c>
      <c r="B265" t="s">
        <v>811</v>
      </c>
      <c r="C265" s="3">
        <v>45089</v>
      </c>
      <c r="D265" s="3">
        <v>45119</v>
      </c>
      <c r="E265">
        <v>985.69</v>
      </c>
      <c r="F265" t="s">
        <v>817</v>
      </c>
      <c r="G265" t="s">
        <v>820</v>
      </c>
      <c r="H265" s="3">
        <v>45118</v>
      </c>
      <c r="I265" t="s">
        <v>822</v>
      </c>
      <c r="J265">
        <f t="shared" si="12"/>
        <v>-1</v>
      </c>
      <c r="K265" t="str">
        <f t="shared" si="13"/>
        <v>On-Time</v>
      </c>
      <c r="L265">
        <f t="shared" ca="1" si="14"/>
        <v>1014</v>
      </c>
    </row>
    <row r="266" spans="1:12" x14ac:dyDescent="0.3">
      <c r="A266" t="s">
        <v>273</v>
      </c>
      <c r="B266" t="s">
        <v>809</v>
      </c>
      <c r="C266" s="3">
        <v>45792</v>
      </c>
      <c r="D266" s="3">
        <v>45822</v>
      </c>
      <c r="E266">
        <v>4502.04</v>
      </c>
      <c r="F266" t="s">
        <v>815</v>
      </c>
      <c r="G266" t="s">
        <v>820</v>
      </c>
      <c r="H266" s="3">
        <v>45824</v>
      </c>
      <c r="I266" t="s">
        <v>822</v>
      </c>
      <c r="J266">
        <f t="shared" si="12"/>
        <v>2</v>
      </c>
      <c r="K266" t="str">
        <f t="shared" si="13"/>
        <v>Late</v>
      </c>
      <c r="L266">
        <f t="shared" ca="1" si="14"/>
        <v>311</v>
      </c>
    </row>
    <row r="267" spans="1:12" x14ac:dyDescent="0.3">
      <c r="A267" t="s">
        <v>274</v>
      </c>
      <c r="B267" t="s">
        <v>813</v>
      </c>
      <c r="C267" s="3">
        <v>45686</v>
      </c>
      <c r="D267" s="3">
        <v>45716</v>
      </c>
      <c r="E267">
        <v>1415.18</v>
      </c>
      <c r="F267" t="s">
        <v>816</v>
      </c>
      <c r="G267" t="s">
        <v>820</v>
      </c>
      <c r="H267" s="3">
        <v>45722</v>
      </c>
      <c r="I267" t="s">
        <v>822</v>
      </c>
      <c r="J267">
        <f t="shared" si="12"/>
        <v>6</v>
      </c>
      <c r="K267" t="str">
        <f t="shared" si="13"/>
        <v>Late</v>
      </c>
      <c r="L267">
        <f t="shared" ca="1" si="14"/>
        <v>417</v>
      </c>
    </row>
    <row r="268" spans="1:12" x14ac:dyDescent="0.3">
      <c r="A268" t="s">
        <v>275</v>
      </c>
      <c r="B268" t="s">
        <v>812</v>
      </c>
      <c r="C268" s="3">
        <v>45209</v>
      </c>
      <c r="D268" s="3">
        <v>45239</v>
      </c>
      <c r="E268">
        <v>3176.41</v>
      </c>
      <c r="F268" t="s">
        <v>814</v>
      </c>
      <c r="G268" t="s">
        <v>819</v>
      </c>
      <c r="H268" s="3">
        <v>45238</v>
      </c>
      <c r="I268" t="s">
        <v>822</v>
      </c>
      <c r="J268">
        <f t="shared" si="12"/>
        <v>-1</v>
      </c>
      <c r="K268" t="str">
        <f t="shared" si="13"/>
        <v>Pending</v>
      </c>
      <c r="L268">
        <f t="shared" ca="1" si="14"/>
        <v>894</v>
      </c>
    </row>
    <row r="269" spans="1:12" x14ac:dyDescent="0.3">
      <c r="A269" t="s">
        <v>276</v>
      </c>
      <c r="B269" t="s">
        <v>811</v>
      </c>
      <c r="C269" s="3">
        <v>45094</v>
      </c>
      <c r="D269" s="3">
        <v>45124</v>
      </c>
      <c r="E269">
        <v>4887.26</v>
      </c>
      <c r="F269" t="s">
        <v>817</v>
      </c>
      <c r="G269" t="s">
        <v>819</v>
      </c>
      <c r="H269" s="3">
        <v>45130</v>
      </c>
      <c r="I269" t="s">
        <v>822</v>
      </c>
      <c r="J269">
        <f t="shared" si="12"/>
        <v>6</v>
      </c>
      <c r="K269" t="str">
        <f t="shared" si="13"/>
        <v>Pending</v>
      </c>
      <c r="L269">
        <f t="shared" ca="1" si="14"/>
        <v>1009</v>
      </c>
    </row>
    <row r="270" spans="1:12" x14ac:dyDescent="0.3">
      <c r="A270" t="s">
        <v>277</v>
      </c>
      <c r="B270" t="s">
        <v>812</v>
      </c>
      <c r="C270" s="3">
        <v>45545</v>
      </c>
      <c r="D270" s="3">
        <v>45575</v>
      </c>
      <c r="E270">
        <v>3883.76</v>
      </c>
      <c r="F270" t="s">
        <v>816</v>
      </c>
      <c r="G270" t="s">
        <v>820</v>
      </c>
      <c r="H270" s="3">
        <v>45577</v>
      </c>
      <c r="I270" t="s">
        <v>822</v>
      </c>
      <c r="J270">
        <f t="shared" si="12"/>
        <v>2</v>
      </c>
      <c r="K270" t="str">
        <f t="shared" si="13"/>
        <v>Late</v>
      </c>
      <c r="L270">
        <f t="shared" ca="1" si="14"/>
        <v>558</v>
      </c>
    </row>
    <row r="271" spans="1:12" x14ac:dyDescent="0.3">
      <c r="A271" t="s">
        <v>278</v>
      </c>
      <c r="B271" t="s">
        <v>812</v>
      </c>
      <c r="C271" s="3">
        <v>45820</v>
      </c>
      <c r="D271" s="3">
        <v>45850</v>
      </c>
      <c r="E271">
        <v>1284.06</v>
      </c>
      <c r="F271" t="s">
        <v>815</v>
      </c>
      <c r="G271" t="s">
        <v>819</v>
      </c>
      <c r="H271" s="3">
        <v>45847</v>
      </c>
      <c r="I271" t="s">
        <v>822</v>
      </c>
      <c r="J271">
        <f t="shared" si="12"/>
        <v>-3</v>
      </c>
      <c r="K271" t="str">
        <f t="shared" si="13"/>
        <v>Pending</v>
      </c>
      <c r="L271">
        <f t="shared" ca="1" si="14"/>
        <v>283</v>
      </c>
    </row>
    <row r="272" spans="1:12" x14ac:dyDescent="0.3">
      <c r="A272" t="s">
        <v>279</v>
      </c>
      <c r="B272" t="s">
        <v>812</v>
      </c>
      <c r="C272" s="3">
        <v>45834</v>
      </c>
      <c r="D272" s="3">
        <v>45864</v>
      </c>
      <c r="E272">
        <v>4305.1899999999996</v>
      </c>
      <c r="F272" t="s">
        <v>816</v>
      </c>
      <c r="G272" t="s">
        <v>821</v>
      </c>
      <c r="H272" s="3">
        <v>45864</v>
      </c>
      <c r="I272" t="s">
        <v>822</v>
      </c>
      <c r="J272">
        <f t="shared" si="12"/>
        <v>0</v>
      </c>
      <c r="K272" t="str">
        <f t="shared" si="13"/>
        <v>On-Time</v>
      </c>
      <c r="L272">
        <f t="shared" ca="1" si="14"/>
        <v>269</v>
      </c>
    </row>
    <row r="273" spans="1:12" x14ac:dyDescent="0.3">
      <c r="A273" t="s">
        <v>280</v>
      </c>
      <c r="B273" t="s">
        <v>812</v>
      </c>
      <c r="C273" s="3">
        <v>45242</v>
      </c>
      <c r="D273" s="3">
        <v>45272</v>
      </c>
      <c r="E273">
        <v>1810.33</v>
      </c>
      <c r="F273" t="s">
        <v>818</v>
      </c>
      <c r="G273" t="s">
        <v>819</v>
      </c>
      <c r="H273" s="3">
        <v>45271</v>
      </c>
      <c r="I273" t="s">
        <v>822</v>
      </c>
      <c r="J273">
        <f t="shared" si="12"/>
        <v>-1</v>
      </c>
      <c r="K273" t="str">
        <f t="shared" si="13"/>
        <v>Pending</v>
      </c>
      <c r="L273">
        <f t="shared" ca="1" si="14"/>
        <v>861</v>
      </c>
    </row>
    <row r="274" spans="1:12" x14ac:dyDescent="0.3">
      <c r="A274" t="s">
        <v>281</v>
      </c>
      <c r="B274" t="s">
        <v>809</v>
      </c>
      <c r="C274" s="3">
        <v>45373</v>
      </c>
      <c r="D274" s="3">
        <v>45403</v>
      </c>
      <c r="E274">
        <v>3741.63</v>
      </c>
      <c r="F274" t="s">
        <v>814</v>
      </c>
      <c r="G274" t="s">
        <v>819</v>
      </c>
      <c r="H274" s="3">
        <v>45412</v>
      </c>
      <c r="I274" t="s">
        <v>822</v>
      </c>
      <c r="J274">
        <f t="shared" si="12"/>
        <v>9</v>
      </c>
      <c r="K274" t="str">
        <f t="shared" si="13"/>
        <v>Pending</v>
      </c>
      <c r="L274">
        <f t="shared" ca="1" si="14"/>
        <v>730</v>
      </c>
    </row>
    <row r="275" spans="1:12" x14ac:dyDescent="0.3">
      <c r="A275" t="s">
        <v>282</v>
      </c>
      <c r="B275" t="s">
        <v>810</v>
      </c>
      <c r="C275" s="3">
        <v>45322</v>
      </c>
      <c r="D275" s="3">
        <v>45352</v>
      </c>
      <c r="E275">
        <v>2037.12</v>
      </c>
      <c r="F275" t="s">
        <v>818</v>
      </c>
      <c r="G275" t="s">
        <v>821</v>
      </c>
      <c r="H275" s="3">
        <v>45352</v>
      </c>
      <c r="I275" t="s">
        <v>822</v>
      </c>
      <c r="J275">
        <f t="shared" si="12"/>
        <v>0</v>
      </c>
      <c r="K275" t="str">
        <f t="shared" si="13"/>
        <v>On-Time</v>
      </c>
      <c r="L275">
        <f t="shared" ca="1" si="14"/>
        <v>781</v>
      </c>
    </row>
    <row r="276" spans="1:12" x14ac:dyDescent="0.3">
      <c r="A276" t="s">
        <v>283</v>
      </c>
      <c r="B276" t="s">
        <v>810</v>
      </c>
      <c r="C276" s="3">
        <v>45332</v>
      </c>
      <c r="D276" s="3">
        <v>45362</v>
      </c>
      <c r="E276">
        <v>970.98</v>
      </c>
      <c r="F276" t="s">
        <v>817</v>
      </c>
      <c r="G276" t="s">
        <v>819</v>
      </c>
      <c r="H276" s="3">
        <v>45369</v>
      </c>
      <c r="I276" t="s">
        <v>822</v>
      </c>
      <c r="J276">
        <f t="shared" si="12"/>
        <v>7</v>
      </c>
      <c r="K276" t="str">
        <f t="shared" si="13"/>
        <v>Pending</v>
      </c>
      <c r="L276">
        <f t="shared" ca="1" si="14"/>
        <v>771</v>
      </c>
    </row>
    <row r="277" spans="1:12" x14ac:dyDescent="0.3">
      <c r="A277" t="s">
        <v>284</v>
      </c>
      <c r="B277" t="s">
        <v>812</v>
      </c>
      <c r="C277" s="3">
        <v>44997</v>
      </c>
      <c r="D277" s="3">
        <v>45027</v>
      </c>
      <c r="E277">
        <v>743.53</v>
      </c>
      <c r="F277" t="s">
        <v>818</v>
      </c>
      <c r="G277" t="s">
        <v>821</v>
      </c>
      <c r="H277" s="3">
        <v>45027</v>
      </c>
      <c r="I277" t="s">
        <v>822</v>
      </c>
      <c r="J277">
        <f t="shared" si="12"/>
        <v>0</v>
      </c>
      <c r="K277" t="str">
        <f t="shared" si="13"/>
        <v>On-Time</v>
      </c>
      <c r="L277">
        <f t="shared" ca="1" si="14"/>
        <v>1106</v>
      </c>
    </row>
    <row r="278" spans="1:12" x14ac:dyDescent="0.3">
      <c r="A278" t="s">
        <v>285</v>
      </c>
      <c r="B278" t="s">
        <v>811</v>
      </c>
      <c r="C278" s="3">
        <v>45478</v>
      </c>
      <c r="D278" s="3">
        <v>45508</v>
      </c>
      <c r="E278">
        <v>983.96</v>
      </c>
      <c r="F278" t="s">
        <v>816</v>
      </c>
      <c r="G278" t="s">
        <v>819</v>
      </c>
      <c r="H278" s="3">
        <v>45515</v>
      </c>
      <c r="I278" t="s">
        <v>822</v>
      </c>
      <c r="J278">
        <f t="shared" si="12"/>
        <v>7</v>
      </c>
      <c r="K278" t="str">
        <f t="shared" si="13"/>
        <v>Pending</v>
      </c>
      <c r="L278">
        <f t="shared" ca="1" si="14"/>
        <v>625</v>
      </c>
    </row>
    <row r="279" spans="1:12" x14ac:dyDescent="0.3">
      <c r="A279" t="s">
        <v>286</v>
      </c>
      <c r="B279" t="s">
        <v>811</v>
      </c>
      <c r="C279" s="3">
        <v>45513</v>
      </c>
      <c r="D279" s="3">
        <v>45543</v>
      </c>
      <c r="E279">
        <v>1917.71</v>
      </c>
      <c r="F279" t="s">
        <v>816</v>
      </c>
      <c r="G279" t="s">
        <v>819</v>
      </c>
      <c r="H279" s="3">
        <v>45552</v>
      </c>
      <c r="I279" t="s">
        <v>822</v>
      </c>
      <c r="J279">
        <f t="shared" si="12"/>
        <v>9</v>
      </c>
      <c r="K279" t="str">
        <f t="shared" si="13"/>
        <v>Pending</v>
      </c>
      <c r="L279">
        <f t="shared" ca="1" si="14"/>
        <v>590</v>
      </c>
    </row>
    <row r="280" spans="1:12" x14ac:dyDescent="0.3">
      <c r="A280" t="s">
        <v>287</v>
      </c>
      <c r="B280" t="s">
        <v>809</v>
      </c>
      <c r="C280" s="3">
        <v>45487</v>
      </c>
      <c r="D280" s="3">
        <v>45517</v>
      </c>
      <c r="E280">
        <v>1199.03</v>
      </c>
      <c r="F280" t="s">
        <v>817</v>
      </c>
      <c r="G280" t="s">
        <v>820</v>
      </c>
      <c r="H280" s="3">
        <v>45519</v>
      </c>
      <c r="I280" t="s">
        <v>822</v>
      </c>
      <c r="J280">
        <f t="shared" si="12"/>
        <v>2</v>
      </c>
      <c r="K280" t="str">
        <f t="shared" si="13"/>
        <v>Late</v>
      </c>
      <c r="L280">
        <f t="shared" ca="1" si="14"/>
        <v>616</v>
      </c>
    </row>
    <row r="281" spans="1:12" x14ac:dyDescent="0.3">
      <c r="A281" t="s">
        <v>288</v>
      </c>
      <c r="B281" t="s">
        <v>811</v>
      </c>
      <c r="C281" s="3">
        <v>45057</v>
      </c>
      <c r="D281" s="3">
        <v>45087</v>
      </c>
      <c r="E281">
        <v>317.85000000000002</v>
      </c>
      <c r="F281" t="s">
        <v>817</v>
      </c>
      <c r="G281" t="s">
        <v>821</v>
      </c>
      <c r="H281" s="3">
        <v>45087</v>
      </c>
      <c r="I281" t="s">
        <v>822</v>
      </c>
      <c r="J281">
        <f t="shared" si="12"/>
        <v>0</v>
      </c>
      <c r="K281" t="str">
        <f t="shared" si="13"/>
        <v>On-Time</v>
      </c>
      <c r="L281">
        <f t="shared" ca="1" si="14"/>
        <v>1046</v>
      </c>
    </row>
    <row r="282" spans="1:12" x14ac:dyDescent="0.3">
      <c r="A282" t="s">
        <v>289</v>
      </c>
      <c r="B282" t="s">
        <v>810</v>
      </c>
      <c r="C282" s="3">
        <v>45753</v>
      </c>
      <c r="D282" s="3">
        <v>45783</v>
      </c>
      <c r="E282">
        <v>4556.93</v>
      </c>
      <c r="F282" t="s">
        <v>814</v>
      </c>
      <c r="G282" t="s">
        <v>820</v>
      </c>
      <c r="H282" s="3">
        <v>45790</v>
      </c>
      <c r="I282" t="s">
        <v>822</v>
      </c>
      <c r="J282">
        <f t="shared" si="12"/>
        <v>7</v>
      </c>
      <c r="K282" t="str">
        <f t="shared" si="13"/>
        <v>Late</v>
      </c>
      <c r="L282">
        <f t="shared" ca="1" si="14"/>
        <v>350</v>
      </c>
    </row>
    <row r="283" spans="1:12" x14ac:dyDescent="0.3">
      <c r="A283" t="s">
        <v>290</v>
      </c>
      <c r="B283" t="s">
        <v>809</v>
      </c>
      <c r="C283" s="3">
        <v>45606</v>
      </c>
      <c r="D283" s="3">
        <v>45636</v>
      </c>
      <c r="E283">
        <v>1600.22</v>
      </c>
      <c r="F283" t="s">
        <v>816</v>
      </c>
      <c r="G283" t="s">
        <v>819</v>
      </c>
      <c r="H283" s="3">
        <v>45637</v>
      </c>
      <c r="I283" t="s">
        <v>822</v>
      </c>
      <c r="J283">
        <f t="shared" si="12"/>
        <v>1</v>
      </c>
      <c r="K283" t="str">
        <f t="shared" si="13"/>
        <v>Pending</v>
      </c>
      <c r="L283">
        <f t="shared" ca="1" si="14"/>
        <v>497</v>
      </c>
    </row>
    <row r="284" spans="1:12" x14ac:dyDescent="0.3">
      <c r="A284" t="s">
        <v>291</v>
      </c>
      <c r="B284" t="s">
        <v>810</v>
      </c>
      <c r="C284" s="3">
        <v>44974</v>
      </c>
      <c r="D284" s="3">
        <v>45004</v>
      </c>
      <c r="E284">
        <v>2011.23</v>
      </c>
      <c r="F284" t="s">
        <v>816</v>
      </c>
      <c r="G284" t="s">
        <v>819</v>
      </c>
      <c r="H284" s="3">
        <v>45002</v>
      </c>
      <c r="I284" t="s">
        <v>822</v>
      </c>
      <c r="J284">
        <f t="shared" si="12"/>
        <v>-2</v>
      </c>
      <c r="K284" t="str">
        <f t="shared" si="13"/>
        <v>Pending</v>
      </c>
      <c r="L284">
        <f t="shared" ca="1" si="14"/>
        <v>1129</v>
      </c>
    </row>
    <row r="285" spans="1:12" x14ac:dyDescent="0.3">
      <c r="A285" t="s">
        <v>292</v>
      </c>
      <c r="B285" t="s">
        <v>810</v>
      </c>
      <c r="C285" s="3">
        <v>45581</v>
      </c>
      <c r="D285" s="3">
        <v>45611</v>
      </c>
      <c r="E285">
        <v>2093.29</v>
      </c>
      <c r="F285" t="s">
        <v>815</v>
      </c>
      <c r="G285" t="s">
        <v>819</v>
      </c>
      <c r="H285" s="3">
        <v>45620</v>
      </c>
      <c r="I285" t="s">
        <v>822</v>
      </c>
      <c r="J285">
        <f t="shared" si="12"/>
        <v>9</v>
      </c>
      <c r="K285" t="str">
        <f t="shared" si="13"/>
        <v>Pending</v>
      </c>
      <c r="L285">
        <f t="shared" ca="1" si="14"/>
        <v>522</v>
      </c>
    </row>
    <row r="286" spans="1:12" x14ac:dyDescent="0.3">
      <c r="A286" t="s">
        <v>293</v>
      </c>
      <c r="B286" t="s">
        <v>813</v>
      </c>
      <c r="C286" s="3">
        <v>45752</v>
      </c>
      <c r="D286" s="3">
        <v>45782</v>
      </c>
      <c r="E286">
        <v>4095</v>
      </c>
      <c r="F286" t="s">
        <v>815</v>
      </c>
      <c r="G286" t="s">
        <v>820</v>
      </c>
      <c r="H286" s="3">
        <v>45782</v>
      </c>
      <c r="I286" t="s">
        <v>822</v>
      </c>
      <c r="J286">
        <f t="shared" si="12"/>
        <v>0</v>
      </c>
      <c r="K286" t="str">
        <f t="shared" si="13"/>
        <v>On-Time</v>
      </c>
      <c r="L286">
        <f t="shared" ca="1" si="14"/>
        <v>351</v>
      </c>
    </row>
    <row r="287" spans="1:12" x14ac:dyDescent="0.3">
      <c r="A287" t="s">
        <v>294</v>
      </c>
      <c r="B287" t="s">
        <v>809</v>
      </c>
      <c r="C287" s="3">
        <v>45302</v>
      </c>
      <c r="D287" s="3">
        <v>45332</v>
      </c>
      <c r="E287">
        <v>3459.29</v>
      </c>
      <c r="F287" t="s">
        <v>816</v>
      </c>
      <c r="G287" t="s">
        <v>820</v>
      </c>
      <c r="H287" s="3">
        <v>45340</v>
      </c>
      <c r="I287" t="s">
        <v>822</v>
      </c>
      <c r="J287">
        <f t="shared" si="12"/>
        <v>8</v>
      </c>
      <c r="K287" t="str">
        <f t="shared" si="13"/>
        <v>Late</v>
      </c>
      <c r="L287">
        <f t="shared" ca="1" si="14"/>
        <v>801</v>
      </c>
    </row>
    <row r="288" spans="1:12" x14ac:dyDescent="0.3">
      <c r="A288" t="s">
        <v>295</v>
      </c>
      <c r="B288" t="s">
        <v>810</v>
      </c>
      <c r="C288" s="3">
        <v>45225</v>
      </c>
      <c r="D288" s="3">
        <v>45255</v>
      </c>
      <c r="E288">
        <v>310.83999999999997</v>
      </c>
      <c r="F288" t="s">
        <v>817</v>
      </c>
      <c r="G288" t="s">
        <v>821</v>
      </c>
      <c r="H288" s="3">
        <v>45255</v>
      </c>
      <c r="I288" t="s">
        <v>822</v>
      </c>
      <c r="J288">
        <f t="shared" si="12"/>
        <v>0</v>
      </c>
      <c r="K288" t="str">
        <f t="shared" si="13"/>
        <v>On-Time</v>
      </c>
      <c r="L288">
        <f t="shared" ca="1" si="14"/>
        <v>878</v>
      </c>
    </row>
    <row r="289" spans="1:12" x14ac:dyDescent="0.3">
      <c r="A289" t="s">
        <v>296</v>
      </c>
      <c r="B289" t="s">
        <v>811</v>
      </c>
      <c r="C289" s="3">
        <v>45559</v>
      </c>
      <c r="D289" s="3">
        <v>45589</v>
      </c>
      <c r="E289">
        <v>929.39</v>
      </c>
      <c r="F289" t="s">
        <v>814</v>
      </c>
      <c r="G289" t="s">
        <v>820</v>
      </c>
      <c r="H289" s="3">
        <v>45590</v>
      </c>
      <c r="I289" t="s">
        <v>822</v>
      </c>
      <c r="J289">
        <f t="shared" si="12"/>
        <v>1</v>
      </c>
      <c r="K289" t="str">
        <f t="shared" si="13"/>
        <v>Late</v>
      </c>
      <c r="L289">
        <f t="shared" ca="1" si="14"/>
        <v>544</v>
      </c>
    </row>
    <row r="290" spans="1:12" x14ac:dyDescent="0.3">
      <c r="A290" t="s">
        <v>297</v>
      </c>
      <c r="B290" t="s">
        <v>813</v>
      </c>
      <c r="C290" s="3">
        <v>45001</v>
      </c>
      <c r="D290" s="3">
        <v>45031</v>
      </c>
      <c r="E290">
        <v>4087.15</v>
      </c>
      <c r="F290" t="s">
        <v>817</v>
      </c>
      <c r="G290" t="s">
        <v>821</v>
      </c>
      <c r="H290" s="3">
        <v>45031</v>
      </c>
      <c r="I290" t="s">
        <v>822</v>
      </c>
      <c r="J290">
        <f t="shared" si="12"/>
        <v>0</v>
      </c>
      <c r="K290" t="str">
        <f t="shared" si="13"/>
        <v>On-Time</v>
      </c>
      <c r="L290">
        <f t="shared" ca="1" si="14"/>
        <v>1102</v>
      </c>
    </row>
    <row r="291" spans="1:12" x14ac:dyDescent="0.3">
      <c r="A291" t="s">
        <v>298</v>
      </c>
      <c r="B291" t="s">
        <v>812</v>
      </c>
      <c r="C291" s="3">
        <v>45741</v>
      </c>
      <c r="D291" s="3">
        <v>45771</v>
      </c>
      <c r="E291">
        <v>2351.0300000000002</v>
      </c>
      <c r="F291" t="s">
        <v>815</v>
      </c>
      <c r="G291" t="s">
        <v>819</v>
      </c>
      <c r="H291" s="3">
        <v>45770</v>
      </c>
      <c r="I291" t="s">
        <v>822</v>
      </c>
      <c r="J291">
        <f t="shared" si="12"/>
        <v>-1</v>
      </c>
      <c r="K291" t="str">
        <f t="shared" si="13"/>
        <v>Pending</v>
      </c>
      <c r="L291">
        <f t="shared" ca="1" si="14"/>
        <v>362</v>
      </c>
    </row>
    <row r="292" spans="1:12" x14ac:dyDescent="0.3">
      <c r="A292" t="s">
        <v>299</v>
      </c>
      <c r="B292" t="s">
        <v>813</v>
      </c>
      <c r="C292" s="3">
        <v>45152</v>
      </c>
      <c r="D292" s="3">
        <v>45182</v>
      </c>
      <c r="E292">
        <v>4799.5</v>
      </c>
      <c r="F292" t="s">
        <v>816</v>
      </c>
      <c r="G292" t="s">
        <v>821</v>
      </c>
      <c r="H292" s="3">
        <v>45182</v>
      </c>
      <c r="I292" t="s">
        <v>822</v>
      </c>
      <c r="J292">
        <f t="shared" si="12"/>
        <v>0</v>
      </c>
      <c r="K292" t="str">
        <f t="shared" si="13"/>
        <v>On-Time</v>
      </c>
      <c r="L292">
        <f t="shared" ca="1" si="14"/>
        <v>951</v>
      </c>
    </row>
    <row r="293" spans="1:12" x14ac:dyDescent="0.3">
      <c r="A293" t="s">
        <v>300</v>
      </c>
      <c r="B293" t="s">
        <v>813</v>
      </c>
      <c r="C293" s="3">
        <v>45105</v>
      </c>
      <c r="D293" s="3">
        <v>45135</v>
      </c>
      <c r="E293">
        <v>2284.77</v>
      </c>
      <c r="F293" t="s">
        <v>818</v>
      </c>
      <c r="G293" t="s">
        <v>819</v>
      </c>
      <c r="H293" s="3">
        <v>45145</v>
      </c>
      <c r="I293" t="s">
        <v>822</v>
      </c>
      <c r="J293">
        <f t="shared" si="12"/>
        <v>10</v>
      </c>
      <c r="K293" t="str">
        <f t="shared" si="13"/>
        <v>Pending</v>
      </c>
      <c r="L293">
        <f t="shared" ca="1" si="14"/>
        <v>998</v>
      </c>
    </row>
    <row r="294" spans="1:12" x14ac:dyDescent="0.3">
      <c r="A294" t="s">
        <v>301</v>
      </c>
      <c r="B294" t="s">
        <v>810</v>
      </c>
      <c r="C294" s="3">
        <v>45142</v>
      </c>
      <c r="D294" s="3">
        <v>45172</v>
      </c>
      <c r="E294">
        <v>2951.68</v>
      </c>
      <c r="F294" t="s">
        <v>818</v>
      </c>
      <c r="G294" t="s">
        <v>821</v>
      </c>
      <c r="H294" s="3">
        <v>45172</v>
      </c>
      <c r="I294" t="s">
        <v>822</v>
      </c>
      <c r="J294">
        <f t="shared" si="12"/>
        <v>0</v>
      </c>
      <c r="K294" t="str">
        <f t="shared" si="13"/>
        <v>On-Time</v>
      </c>
      <c r="L294">
        <f t="shared" ca="1" si="14"/>
        <v>961</v>
      </c>
    </row>
    <row r="295" spans="1:12" x14ac:dyDescent="0.3">
      <c r="A295" t="s">
        <v>302</v>
      </c>
      <c r="B295" t="s">
        <v>811</v>
      </c>
      <c r="C295" s="3">
        <v>45457</v>
      </c>
      <c r="D295" s="3">
        <v>45487</v>
      </c>
      <c r="E295">
        <v>4227.92</v>
      </c>
      <c r="F295" t="s">
        <v>818</v>
      </c>
      <c r="G295" t="s">
        <v>820</v>
      </c>
      <c r="H295" s="3">
        <v>45496</v>
      </c>
      <c r="I295" t="s">
        <v>822</v>
      </c>
      <c r="J295">
        <f t="shared" si="12"/>
        <v>9</v>
      </c>
      <c r="K295" t="str">
        <f t="shared" si="13"/>
        <v>Late</v>
      </c>
      <c r="L295">
        <f t="shared" ca="1" si="14"/>
        <v>646</v>
      </c>
    </row>
    <row r="296" spans="1:12" x14ac:dyDescent="0.3">
      <c r="A296" t="s">
        <v>303</v>
      </c>
      <c r="B296" t="s">
        <v>813</v>
      </c>
      <c r="C296" s="3">
        <v>45617</v>
      </c>
      <c r="D296" s="3">
        <v>45647</v>
      </c>
      <c r="E296">
        <v>1060.77</v>
      </c>
      <c r="F296" t="s">
        <v>818</v>
      </c>
      <c r="G296" t="s">
        <v>821</v>
      </c>
      <c r="H296" s="3">
        <v>45647</v>
      </c>
      <c r="I296" t="s">
        <v>822</v>
      </c>
      <c r="J296">
        <f t="shared" si="12"/>
        <v>0</v>
      </c>
      <c r="K296" t="str">
        <f t="shared" si="13"/>
        <v>On-Time</v>
      </c>
      <c r="L296">
        <f t="shared" ca="1" si="14"/>
        <v>486</v>
      </c>
    </row>
    <row r="297" spans="1:12" x14ac:dyDescent="0.3">
      <c r="A297" t="s">
        <v>304</v>
      </c>
      <c r="B297" t="s">
        <v>809</v>
      </c>
      <c r="C297" s="3">
        <v>45285</v>
      </c>
      <c r="D297" s="3">
        <v>45315</v>
      </c>
      <c r="E297">
        <v>4147.42</v>
      </c>
      <c r="F297" t="s">
        <v>818</v>
      </c>
      <c r="G297" t="s">
        <v>820</v>
      </c>
      <c r="H297" s="3">
        <v>45319</v>
      </c>
      <c r="I297" t="s">
        <v>822</v>
      </c>
      <c r="J297">
        <f t="shared" si="12"/>
        <v>4</v>
      </c>
      <c r="K297" t="str">
        <f t="shared" si="13"/>
        <v>Late</v>
      </c>
      <c r="L297">
        <f t="shared" ca="1" si="14"/>
        <v>818</v>
      </c>
    </row>
    <row r="298" spans="1:12" x14ac:dyDescent="0.3">
      <c r="A298" t="s">
        <v>305</v>
      </c>
      <c r="B298" t="s">
        <v>811</v>
      </c>
      <c r="C298" s="3">
        <v>45206</v>
      </c>
      <c r="D298" s="3">
        <v>45236</v>
      </c>
      <c r="E298">
        <v>4406.58</v>
      </c>
      <c r="F298" t="s">
        <v>816</v>
      </c>
      <c r="G298" t="s">
        <v>821</v>
      </c>
      <c r="H298" s="3">
        <v>45236</v>
      </c>
      <c r="I298" t="s">
        <v>822</v>
      </c>
      <c r="J298">
        <f t="shared" si="12"/>
        <v>0</v>
      </c>
      <c r="K298" t="str">
        <f t="shared" si="13"/>
        <v>On-Time</v>
      </c>
      <c r="L298">
        <f t="shared" ca="1" si="14"/>
        <v>897</v>
      </c>
    </row>
    <row r="299" spans="1:12" x14ac:dyDescent="0.3">
      <c r="A299" t="s">
        <v>306</v>
      </c>
      <c r="B299" t="s">
        <v>812</v>
      </c>
      <c r="C299" s="3">
        <v>45069</v>
      </c>
      <c r="D299" s="3">
        <v>45099</v>
      </c>
      <c r="E299">
        <v>3855.44</v>
      </c>
      <c r="F299" t="s">
        <v>815</v>
      </c>
      <c r="G299" t="s">
        <v>819</v>
      </c>
      <c r="H299" s="3">
        <v>45103</v>
      </c>
      <c r="I299" t="s">
        <v>822</v>
      </c>
      <c r="J299">
        <f t="shared" si="12"/>
        <v>4</v>
      </c>
      <c r="K299" t="str">
        <f t="shared" si="13"/>
        <v>Pending</v>
      </c>
      <c r="L299">
        <f t="shared" ca="1" si="14"/>
        <v>1034</v>
      </c>
    </row>
    <row r="300" spans="1:12" x14ac:dyDescent="0.3">
      <c r="A300" t="s">
        <v>307</v>
      </c>
      <c r="B300" t="s">
        <v>811</v>
      </c>
      <c r="C300" s="3">
        <v>45773</v>
      </c>
      <c r="D300" s="3">
        <v>45803</v>
      </c>
      <c r="E300">
        <v>1239.49</v>
      </c>
      <c r="F300" t="s">
        <v>815</v>
      </c>
      <c r="G300" t="s">
        <v>819</v>
      </c>
      <c r="H300" s="3">
        <v>45809</v>
      </c>
      <c r="I300" t="s">
        <v>822</v>
      </c>
      <c r="J300">
        <f t="shared" si="12"/>
        <v>6</v>
      </c>
      <c r="K300" t="str">
        <f t="shared" si="13"/>
        <v>Pending</v>
      </c>
      <c r="L300">
        <f t="shared" ca="1" si="14"/>
        <v>330</v>
      </c>
    </row>
    <row r="301" spans="1:12" x14ac:dyDescent="0.3">
      <c r="A301" t="s">
        <v>308</v>
      </c>
      <c r="B301" t="s">
        <v>812</v>
      </c>
      <c r="C301" s="3">
        <v>45819</v>
      </c>
      <c r="D301" s="3">
        <v>45849</v>
      </c>
      <c r="E301">
        <v>4842.93</v>
      </c>
      <c r="F301" t="s">
        <v>818</v>
      </c>
      <c r="G301" t="s">
        <v>819</v>
      </c>
      <c r="H301" s="3">
        <v>45858</v>
      </c>
      <c r="I301" t="s">
        <v>822</v>
      </c>
      <c r="J301">
        <f t="shared" si="12"/>
        <v>9</v>
      </c>
      <c r="K301" t="str">
        <f t="shared" si="13"/>
        <v>Pending</v>
      </c>
      <c r="L301">
        <f t="shared" ca="1" si="14"/>
        <v>284</v>
      </c>
    </row>
    <row r="302" spans="1:12" x14ac:dyDescent="0.3">
      <c r="A302" t="s">
        <v>309</v>
      </c>
      <c r="B302" t="s">
        <v>809</v>
      </c>
      <c r="C302" s="3">
        <v>45833</v>
      </c>
      <c r="D302" s="3">
        <v>45863</v>
      </c>
      <c r="E302">
        <v>1477.77</v>
      </c>
      <c r="F302" t="s">
        <v>817</v>
      </c>
      <c r="G302" t="s">
        <v>819</v>
      </c>
      <c r="H302" s="3">
        <v>45864</v>
      </c>
      <c r="I302" t="s">
        <v>822</v>
      </c>
      <c r="J302">
        <f t="shared" si="12"/>
        <v>1</v>
      </c>
      <c r="K302" t="str">
        <f t="shared" si="13"/>
        <v>Pending</v>
      </c>
      <c r="L302">
        <f t="shared" ca="1" si="14"/>
        <v>270</v>
      </c>
    </row>
    <row r="303" spans="1:12" x14ac:dyDescent="0.3">
      <c r="A303" t="s">
        <v>310</v>
      </c>
      <c r="B303" t="s">
        <v>810</v>
      </c>
      <c r="C303" s="3">
        <v>45717</v>
      </c>
      <c r="D303" s="3">
        <v>45747</v>
      </c>
      <c r="E303">
        <v>4772.12</v>
      </c>
      <c r="F303" t="s">
        <v>817</v>
      </c>
      <c r="G303" t="s">
        <v>821</v>
      </c>
      <c r="H303" s="3">
        <v>45747</v>
      </c>
      <c r="I303" t="s">
        <v>822</v>
      </c>
      <c r="J303">
        <f t="shared" si="12"/>
        <v>0</v>
      </c>
      <c r="K303" t="str">
        <f t="shared" si="13"/>
        <v>On-Time</v>
      </c>
      <c r="L303">
        <f t="shared" ca="1" si="14"/>
        <v>386</v>
      </c>
    </row>
    <row r="304" spans="1:12" x14ac:dyDescent="0.3">
      <c r="A304" t="s">
        <v>311</v>
      </c>
      <c r="B304" t="s">
        <v>813</v>
      </c>
      <c r="C304" s="3">
        <v>45035</v>
      </c>
      <c r="D304" s="3">
        <v>45065</v>
      </c>
      <c r="E304">
        <v>2860.03</v>
      </c>
      <c r="F304" t="s">
        <v>818</v>
      </c>
      <c r="G304" t="s">
        <v>821</v>
      </c>
      <c r="H304" s="3">
        <v>45065</v>
      </c>
      <c r="I304" t="s">
        <v>822</v>
      </c>
      <c r="J304">
        <f t="shared" si="12"/>
        <v>0</v>
      </c>
      <c r="K304" t="str">
        <f t="shared" si="13"/>
        <v>On-Time</v>
      </c>
      <c r="L304">
        <f t="shared" ca="1" si="14"/>
        <v>1068</v>
      </c>
    </row>
    <row r="305" spans="1:12" x14ac:dyDescent="0.3">
      <c r="A305" t="s">
        <v>312</v>
      </c>
      <c r="B305" t="s">
        <v>813</v>
      </c>
      <c r="C305" s="3">
        <v>45504</v>
      </c>
      <c r="D305" s="3">
        <v>45534</v>
      </c>
      <c r="E305">
        <v>1886.55</v>
      </c>
      <c r="F305" t="s">
        <v>818</v>
      </c>
      <c r="G305" t="s">
        <v>820</v>
      </c>
      <c r="H305" s="3">
        <v>45543</v>
      </c>
      <c r="I305" t="s">
        <v>822</v>
      </c>
      <c r="J305">
        <f t="shared" si="12"/>
        <v>9</v>
      </c>
      <c r="K305" t="str">
        <f t="shared" si="13"/>
        <v>Late</v>
      </c>
      <c r="L305">
        <f t="shared" ca="1" si="14"/>
        <v>599</v>
      </c>
    </row>
    <row r="306" spans="1:12" x14ac:dyDescent="0.3">
      <c r="A306" t="s">
        <v>313</v>
      </c>
      <c r="B306" t="s">
        <v>809</v>
      </c>
      <c r="C306" s="3">
        <v>45449</v>
      </c>
      <c r="D306" s="3">
        <v>45479</v>
      </c>
      <c r="E306">
        <v>4336.49</v>
      </c>
      <c r="F306" t="s">
        <v>818</v>
      </c>
      <c r="G306" t="s">
        <v>819</v>
      </c>
      <c r="H306" s="3">
        <v>45480</v>
      </c>
      <c r="I306" t="s">
        <v>822</v>
      </c>
      <c r="J306">
        <f t="shared" si="12"/>
        <v>1</v>
      </c>
      <c r="K306" t="str">
        <f t="shared" si="13"/>
        <v>Pending</v>
      </c>
      <c r="L306">
        <f t="shared" ca="1" si="14"/>
        <v>654</v>
      </c>
    </row>
    <row r="307" spans="1:12" x14ac:dyDescent="0.3">
      <c r="A307" t="s">
        <v>314</v>
      </c>
      <c r="B307" t="s">
        <v>809</v>
      </c>
      <c r="C307" s="3">
        <v>45256</v>
      </c>
      <c r="D307" s="3">
        <v>45286</v>
      </c>
      <c r="E307">
        <v>4046.8</v>
      </c>
      <c r="F307" t="s">
        <v>817</v>
      </c>
      <c r="G307" t="s">
        <v>820</v>
      </c>
      <c r="H307" s="3">
        <v>45294</v>
      </c>
      <c r="I307" t="s">
        <v>822</v>
      </c>
      <c r="J307">
        <f t="shared" si="12"/>
        <v>8</v>
      </c>
      <c r="K307" t="str">
        <f t="shared" si="13"/>
        <v>Late</v>
      </c>
      <c r="L307">
        <f t="shared" ca="1" si="14"/>
        <v>847</v>
      </c>
    </row>
    <row r="308" spans="1:12" x14ac:dyDescent="0.3">
      <c r="A308" t="s">
        <v>315</v>
      </c>
      <c r="B308" t="s">
        <v>809</v>
      </c>
      <c r="C308" s="3">
        <v>45787</v>
      </c>
      <c r="D308" s="3">
        <v>45817</v>
      </c>
      <c r="E308">
        <v>3387.6</v>
      </c>
      <c r="F308" t="s">
        <v>818</v>
      </c>
      <c r="G308" t="s">
        <v>821</v>
      </c>
      <c r="H308" s="3">
        <v>45817</v>
      </c>
      <c r="I308" t="s">
        <v>822</v>
      </c>
      <c r="J308">
        <f t="shared" si="12"/>
        <v>0</v>
      </c>
      <c r="K308" t="str">
        <f t="shared" si="13"/>
        <v>On-Time</v>
      </c>
      <c r="L308">
        <f t="shared" ca="1" si="14"/>
        <v>316</v>
      </c>
    </row>
    <row r="309" spans="1:12" x14ac:dyDescent="0.3">
      <c r="A309" t="s">
        <v>316</v>
      </c>
      <c r="B309" t="s">
        <v>812</v>
      </c>
      <c r="C309" s="3">
        <v>45679</v>
      </c>
      <c r="D309" s="3">
        <v>45709</v>
      </c>
      <c r="E309">
        <v>4207.8599999999997</v>
      </c>
      <c r="F309" t="s">
        <v>814</v>
      </c>
      <c r="G309" t="s">
        <v>819</v>
      </c>
      <c r="H309" s="3">
        <v>45719</v>
      </c>
      <c r="I309" t="s">
        <v>822</v>
      </c>
      <c r="J309">
        <f t="shared" si="12"/>
        <v>10</v>
      </c>
      <c r="K309" t="str">
        <f t="shared" si="13"/>
        <v>Pending</v>
      </c>
      <c r="L309">
        <f t="shared" ca="1" si="14"/>
        <v>424</v>
      </c>
    </row>
    <row r="310" spans="1:12" x14ac:dyDescent="0.3">
      <c r="A310" t="s">
        <v>317</v>
      </c>
      <c r="B310" t="s">
        <v>813</v>
      </c>
      <c r="C310" s="3">
        <v>45320</v>
      </c>
      <c r="D310" s="3">
        <v>45350</v>
      </c>
      <c r="E310">
        <v>2784.29</v>
      </c>
      <c r="F310" t="s">
        <v>815</v>
      </c>
      <c r="G310" t="s">
        <v>819</v>
      </c>
      <c r="H310" s="3">
        <v>45352</v>
      </c>
      <c r="I310" t="s">
        <v>822</v>
      </c>
      <c r="J310">
        <f t="shared" si="12"/>
        <v>2</v>
      </c>
      <c r="K310" t="str">
        <f t="shared" si="13"/>
        <v>Pending</v>
      </c>
      <c r="L310">
        <f t="shared" ca="1" si="14"/>
        <v>783</v>
      </c>
    </row>
    <row r="311" spans="1:12" x14ac:dyDescent="0.3">
      <c r="A311" t="s">
        <v>318</v>
      </c>
      <c r="B311" t="s">
        <v>813</v>
      </c>
      <c r="C311" s="3">
        <v>45576</v>
      </c>
      <c r="D311" s="3">
        <v>45606</v>
      </c>
      <c r="E311">
        <v>2721.22</v>
      </c>
      <c r="F311" t="s">
        <v>816</v>
      </c>
      <c r="G311" t="s">
        <v>820</v>
      </c>
      <c r="H311" s="3">
        <v>45606</v>
      </c>
      <c r="I311" t="s">
        <v>822</v>
      </c>
      <c r="J311">
        <f t="shared" si="12"/>
        <v>0</v>
      </c>
      <c r="K311" t="str">
        <f t="shared" si="13"/>
        <v>On-Time</v>
      </c>
      <c r="L311">
        <f t="shared" ca="1" si="14"/>
        <v>527</v>
      </c>
    </row>
    <row r="312" spans="1:12" x14ac:dyDescent="0.3">
      <c r="A312" t="s">
        <v>319</v>
      </c>
      <c r="B312" t="s">
        <v>810</v>
      </c>
      <c r="C312" s="3">
        <v>44993</v>
      </c>
      <c r="D312" s="3">
        <v>45023</v>
      </c>
      <c r="E312">
        <v>1741.36</v>
      </c>
      <c r="F312" t="s">
        <v>815</v>
      </c>
      <c r="G312" t="s">
        <v>820</v>
      </c>
      <c r="H312" s="3">
        <v>45026</v>
      </c>
      <c r="I312" t="s">
        <v>822</v>
      </c>
      <c r="J312">
        <f t="shared" si="12"/>
        <v>3</v>
      </c>
      <c r="K312" t="str">
        <f t="shared" si="13"/>
        <v>Late</v>
      </c>
      <c r="L312">
        <f t="shared" ca="1" si="14"/>
        <v>1110</v>
      </c>
    </row>
    <row r="313" spans="1:12" x14ac:dyDescent="0.3">
      <c r="A313" t="s">
        <v>320</v>
      </c>
      <c r="B313" t="s">
        <v>813</v>
      </c>
      <c r="C313" s="3">
        <v>45465</v>
      </c>
      <c r="D313" s="3">
        <v>45495</v>
      </c>
      <c r="E313">
        <v>4981.4399999999996</v>
      </c>
      <c r="F313" t="s">
        <v>817</v>
      </c>
      <c r="G313" t="s">
        <v>821</v>
      </c>
      <c r="H313" s="3">
        <v>45495</v>
      </c>
      <c r="I313" t="s">
        <v>822</v>
      </c>
      <c r="J313">
        <f t="shared" si="12"/>
        <v>0</v>
      </c>
      <c r="K313" t="str">
        <f t="shared" si="13"/>
        <v>On-Time</v>
      </c>
      <c r="L313">
        <f t="shared" ca="1" si="14"/>
        <v>638</v>
      </c>
    </row>
    <row r="314" spans="1:12" x14ac:dyDescent="0.3">
      <c r="A314" t="s">
        <v>321</v>
      </c>
      <c r="B314" t="s">
        <v>811</v>
      </c>
      <c r="C314" s="3">
        <v>45062</v>
      </c>
      <c r="D314" s="3">
        <v>45092</v>
      </c>
      <c r="E314">
        <v>2244.6799999999998</v>
      </c>
      <c r="F314" t="s">
        <v>814</v>
      </c>
      <c r="G314" t="s">
        <v>819</v>
      </c>
      <c r="H314" s="3">
        <v>45098</v>
      </c>
      <c r="I314" t="s">
        <v>822</v>
      </c>
      <c r="J314">
        <f t="shared" si="12"/>
        <v>6</v>
      </c>
      <c r="K314" t="str">
        <f t="shared" si="13"/>
        <v>Pending</v>
      </c>
      <c r="L314">
        <f t="shared" ca="1" si="14"/>
        <v>1041</v>
      </c>
    </row>
    <row r="315" spans="1:12" x14ac:dyDescent="0.3">
      <c r="A315" t="s">
        <v>322</v>
      </c>
      <c r="B315" t="s">
        <v>809</v>
      </c>
      <c r="C315" s="3">
        <v>45567</v>
      </c>
      <c r="D315" s="3">
        <v>45597</v>
      </c>
      <c r="E315">
        <v>660.06</v>
      </c>
      <c r="F315" t="s">
        <v>818</v>
      </c>
      <c r="G315" t="s">
        <v>821</v>
      </c>
      <c r="H315" s="3">
        <v>45597</v>
      </c>
      <c r="I315" t="s">
        <v>822</v>
      </c>
      <c r="J315">
        <f t="shared" si="12"/>
        <v>0</v>
      </c>
      <c r="K315" t="str">
        <f t="shared" si="13"/>
        <v>On-Time</v>
      </c>
      <c r="L315">
        <f t="shared" ca="1" si="14"/>
        <v>536</v>
      </c>
    </row>
    <row r="316" spans="1:12" x14ac:dyDescent="0.3">
      <c r="A316" t="s">
        <v>323</v>
      </c>
      <c r="B316" t="s">
        <v>812</v>
      </c>
      <c r="C316" s="3">
        <v>45722</v>
      </c>
      <c r="D316" s="3">
        <v>45752</v>
      </c>
      <c r="E316">
        <v>2932.27</v>
      </c>
      <c r="F316" t="s">
        <v>818</v>
      </c>
      <c r="G316" t="s">
        <v>821</v>
      </c>
      <c r="H316" s="3">
        <v>45752</v>
      </c>
      <c r="I316" t="s">
        <v>822</v>
      </c>
      <c r="J316">
        <f t="shared" si="12"/>
        <v>0</v>
      </c>
      <c r="K316" t="str">
        <f t="shared" si="13"/>
        <v>On-Time</v>
      </c>
      <c r="L316">
        <f t="shared" ca="1" si="14"/>
        <v>381</v>
      </c>
    </row>
    <row r="317" spans="1:12" x14ac:dyDescent="0.3">
      <c r="A317" t="s">
        <v>324</v>
      </c>
      <c r="B317" t="s">
        <v>812</v>
      </c>
      <c r="C317" s="3">
        <v>45511</v>
      </c>
      <c r="D317" s="3">
        <v>45541</v>
      </c>
      <c r="E317">
        <v>451.25</v>
      </c>
      <c r="F317" t="s">
        <v>816</v>
      </c>
      <c r="G317" t="s">
        <v>819</v>
      </c>
      <c r="H317" s="3">
        <v>45547</v>
      </c>
      <c r="I317" t="s">
        <v>822</v>
      </c>
      <c r="J317">
        <f t="shared" si="12"/>
        <v>6</v>
      </c>
      <c r="K317" t="str">
        <f t="shared" si="13"/>
        <v>Pending</v>
      </c>
      <c r="L317">
        <f t="shared" ca="1" si="14"/>
        <v>592</v>
      </c>
    </row>
    <row r="318" spans="1:12" x14ac:dyDescent="0.3">
      <c r="A318" t="s">
        <v>325</v>
      </c>
      <c r="B318" t="s">
        <v>810</v>
      </c>
      <c r="C318" s="3">
        <v>45838</v>
      </c>
      <c r="D318" s="3">
        <v>45868</v>
      </c>
      <c r="E318">
        <v>2665.5</v>
      </c>
      <c r="F318" t="s">
        <v>815</v>
      </c>
      <c r="G318" t="s">
        <v>820</v>
      </c>
      <c r="H318" s="3">
        <v>45872</v>
      </c>
      <c r="I318" t="s">
        <v>822</v>
      </c>
      <c r="J318">
        <f t="shared" si="12"/>
        <v>4</v>
      </c>
      <c r="K318" t="str">
        <f t="shared" si="13"/>
        <v>Late</v>
      </c>
      <c r="L318">
        <f t="shared" ca="1" si="14"/>
        <v>265</v>
      </c>
    </row>
    <row r="319" spans="1:12" x14ac:dyDescent="0.3">
      <c r="A319" t="s">
        <v>326</v>
      </c>
      <c r="B319" t="s">
        <v>809</v>
      </c>
      <c r="C319" s="3">
        <v>45707</v>
      </c>
      <c r="D319" s="3">
        <v>45737</v>
      </c>
      <c r="E319">
        <v>1471.82</v>
      </c>
      <c r="F319" t="s">
        <v>817</v>
      </c>
      <c r="G319" t="s">
        <v>819</v>
      </c>
      <c r="H319" s="3">
        <v>45737</v>
      </c>
      <c r="I319" t="s">
        <v>822</v>
      </c>
      <c r="J319">
        <f t="shared" si="12"/>
        <v>0</v>
      </c>
      <c r="K319" t="str">
        <f t="shared" si="13"/>
        <v>Pending</v>
      </c>
      <c r="L319">
        <f t="shared" ca="1" si="14"/>
        <v>396</v>
      </c>
    </row>
    <row r="320" spans="1:12" x14ac:dyDescent="0.3">
      <c r="A320" t="s">
        <v>327</v>
      </c>
      <c r="B320" t="s">
        <v>811</v>
      </c>
      <c r="C320" s="3">
        <v>45391</v>
      </c>
      <c r="D320" s="3">
        <v>45421</v>
      </c>
      <c r="E320">
        <v>1830.02</v>
      </c>
      <c r="F320" t="s">
        <v>816</v>
      </c>
      <c r="G320" t="s">
        <v>821</v>
      </c>
      <c r="H320" s="3">
        <v>45421</v>
      </c>
      <c r="I320" t="s">
        <v>822</v>
      </c>
      <c r="J320">
        <f t="shared" si="12"/>
        <v>0</v>
      </c>
      <c r="K320" t="str">
        <f t="shared" si="13"/>
        <v>On-Time</v>
      </c>
      <c r="L320">
        <f t="shared" ca="1" si="14"/>
        <v>712</v>
      </c>
    </row>
    <row r="321" spans="1:12" x14ac:dyDescent="0.3">
      <c r="A321" t="s">
        <v>328</v>
      </c>
      <c r="B321" t="s">
        <v>811</v>
      </c>
      <c r="C321" s="3">
        <v>44979</v>
      </c>
      <c r="D321" s="3">
        <v>45009</v>
      </c>
      <c r="E321">
        <v>4995.3900000000003</v>
      </c>
      <c r="F321" t="s">
        <v>815</v>
      </c>
      <c r="G321" t="s">
        <v>820</v>
      </c>
      <c r="H321" s="3">
        <v>45006</v>
      </c>
      <c r="I321" t="s">
        <v>822</v>
      </c>
      <c r="J321">
        <f t="shared" si="12"/>
        <v>-3</v>
      </c>
      <c r="K321" t="str">
        <f t="shared" si="13"/>
        <v>On-Time</v>
      </c>
      <c r="L321">
        <f t="shared" ca="1" si="14"/>
        <v>1124</v>
      </c>
    </row>
    <row r="322" spans="1:12" x14ac:dyDescent="0.3">
      <c r="A322" t="s">
        <v>329</v>
      </c>
      <c r="B322" t="s">
        <v>811</v>
      </c>
      <c r="C322" s="3">
        <v>45068</v>
      </c>
      <c r="D322" s="3">
        <v>45098</v>
      </c>
      <c r="E322">
        <v>4822.93</v>
      </c>
      <c r="F322" t="s">
        <v>818</v>
      </c>
      <c r="G322" t="s">
        <v>820</v>
      </c>
      <c r="H322" s="3">
        <v>45108</v>
      </c>
      <c r="I322" t="s">
        <v>822</v>
      </c>
      <c r="J322">
        <f t="shared" si="12"/>
        <v>10</v>
      </c>
      <c r="K322" t="str">
        <f t="shared" si="13"/>
        <v>Late</v>
      </c>
      <c r="L322">
        <f t="shared" ca="1" si="14"/>
        <v>1035</v>
      </c>
    </row>
    <row r="323" spans="1:12" x14ac:dyDescent="0.3">
      <c r="A323" t="s">
        <v>330</v>
      </c>
      <c r="B323" t="s">
        <v>809</v>
      </c>
      <c r="C323" s="3">
        <v>44928</v>
      </c>
      <c r="D323" s="3">
        <v>44958</v>
      </c>
      <c r="E323">
        <v>1174.97</v>
      </c>
      <c r="F323" t="s">
        <v>817</v>
      </c>
      <c r="G323" t="s">
        <v>821</v>
      </c>
      <c r="H323" s="3">
        <v>44958</v>
      </c>
      <c r="I323" t="s">
        <v>822</v>
      </c>
      <c r="J323">
        <f t="shared" ref="J323:J386" si="15">IF(H323="",0,H323-D323)</f>
        <v>0</v>
      </c>
      <c r="K323" t="str">
        <f t="shared" ref="K323:K386" si="16">IF(G323="Open","Pending",IF(H323&lt;=D323,"On-Time","Late"))</f>
        <v>On-Time</v>
      </c>
      <c r="L323">
        <f t="shared" ref="L323:L386" ca="1" si="17">TODAY()-C323</f>
        <v>1175</v>
      </c>
    </row>
    <row r="324" spans="1:12" x14ac:dyDescent="0.3">
      <c r="A324" t="s">
        <v>331</v>
      </c>
      <c r="B324" t="s">
        <v>812</v>
      </c>
      <c r="C324" s="3">
        <v>45387</v>
      </c>
      <c r="D324" s="3">
        <v>45417</v>
      </c>
      <c r="E324">
        <v>1018.67</v>
      </c>
      <c r="F324" t="s">
        <v>814</v>
      </c>
      <c r="G324" t="s">
        <v>820</v>
      </c>
      <c r="H324" s="3">
        <v>45418</v>
      </c>
      <c r="I324" t="s">
        <v>822</v>
      </c>
      <c r="J324">
        <f t="shared" si="15"/>
        <v>1</v>
      </c>
      <c r="K324" t="str">
        <f t="shared" si="16"/>
        <v>Late</v>
      </c>
      <c r="L324">
        <f t="shared" ca="1" si="17"/>
        <v>716</v>
      </c>
    </row>
    <row r="325" spans="1:12" x14ac:dyDescent="0.3">
      <c r="A325" t="s">
        <v>332</v>
      </c>
      <c r="B325" t="s">
        <v>813</v>
      </c>
      <c r="C325" s="3">
        <v>45528</v>
      </c>
      <c r="D325" s="3">
        <v>45558</v>
      </c>
      <c r="E325">
        <v>525.23</v>
      </c>
      <c r="F325" t="s">
        <v>818</v>
      </c>
      <c r="G325" t="s">
        <v>819</v>
      </c>
      <c r="H325" s="3">
        <v>45562</v>
      </c>
      <c r="I325" t="s">
        <v>822</v>
      </c>
      <c r="J325">
        <f t="shared" si="15"/>
        <v>4</v>
      </c>
      <c r="K325" t="str">
        <f t="shared" si="16"/>
        <v>Pending</v>
      </c>
      <c r="L325">
        <f t="shared" ca="1" si="17"/>
        <v>575</v>
      </c>
    </row>
    <row r="326" spans="1:12" x14ac:dyDescent="0.3">
      <c r="A326" t="s">
        <v>333</v>
      </c>
      <c r="B326" t="s">
        <v>813</v>
      </c>
      <c r="C326" s="3">
        <v>45014</v>
      </c>
      <c r="D326" s="3">
        <v>45044</v>
      </c>
      <c r="E326">
        <v>4607.07</v>
      </c>
      <c r="F326" t="s">
        <v>817</v>
      </c>
      <c r="G326" t="s">
        <v>819</v>
      </c>
      <c r="H326" s="3">
        <v>45053</v>
      </c>
      <c r="I326" t="s">
        <v>822</v>
      </c>
      <c r="J326">
        <f t="shared" si="15"/>
        <v>9</v>
      </c>
      <c r="K326" t="str">
        <f t="shared" si="16"/>
        <v>Pending</v>
      </c>
      <c r="L326">
        <f t="shared" ca="1" si="17"/>
        <v>1089</v>
      </c>
    </row>
    <row r="327" spans="1:12" x14ac:dyDescent="0.3">
      <c r="A327" t="s">
        <v>334</v>
      </c>
      <c r="B327" t="s">
        <v>809</v>
      </c>
      <c r="C327" s="3">
        <v>45054</v>
      </c>
      <c r="D327" s="3">
        <v>45084</v>
      </c>
      <c r="E327">
        <v>2792.15</v>
      </c>
      <c r="F327" t="s">
        <v>815</v>
      </c>
      <c r="G327" t="s">
        <v>821</v>
      </c>
      <c r="H327" s="3">
        <v>45084</v>
      </c>
      <c r="I327" t="s">
        <v>822</v>
      </c>
      <c r="J327">
        <f t="shared" si="15"/>
        <v>0</v>
      </c>
      <c r="K327" t="str">
        <f t="shared" si="16"/>
        <v>On-Time</v>
      </c>
      <c r="L327">
        <f t="shared" ca="1" si="17"/>
        <v>1049</v>
      </c>
    </row>
    <row r="328" spans="1:12" x14ac:dyDescent="0.3">
      <c r="A328" t="s">
        <v>335</v>
      </c>
      <c r="B328" t="s">
        <v>809</v>
      </c>
      <c r="C328" s="3">
        <v>45511</v>
      </c>
      <c r="D328" s="3">
        <v>45541</v>
      </c>
      <c r="E328">
        <v>3719.04</v>
      </c>
      <c r="F328" t="s">
        <v>816</v>
      </c>
      <c r="G328" t="s">
        <v>819</v>
      </c>
      <c r="H328" s="3">
        <v>45547</v>
      </c>
      <c r="I328" t="s">
        <v>822</v>
      </c>
      <c r="J328">
        <f t="shared" si="15"/>
        <v>6</v>
      </c>
      <c r="K328" t="str">
        <f t="shared" si="16"/>
        <v>Pending</v>
      </c>
      <c r="L328">
        <f t="shared" ca="1" si="17"/>
        <v>592</v>
      </c>
    </row>
    <row r="329" spans="1:12" x14ac:dyDescent="0.3">
      <c r="A329" t="s">
        <v>336</v>
      </c>
      <c r="B329" t="s">
        <v>810</v>
      </c>
      <c r="C329" s="3">
        <v>45576</v>
      </c>
      <c r="D329" s="3">
        <v>45606</v>
      </c>
      <c r="E329">
        <v>4169.05</v>
      </c>
      <c r="F329" t="s">
        <v>814</v>
      </c>
      <c r="G329" t="s">
        <v>821</v>
      </c>
      <c r="H329" s="3">
        <v>45606</v>
      </c>
      <c r="I329" t="s">
        <v>822</v>
      </c>
      <c r="J329">
        <f t="shared" si="15"/>
        <v>0</v>
      </c>
      <c r="K329" t="str">
        <f t="shared" si="16"/>
        <v>On-Time</v>
      </c>
      <c r="L329">
        <f t="shared" ca="1" si="17"/>
        <v>527</v>
      </c>
    </row>
    <row r="330" spans="1:12" x14ac:dyDescent="0.3">
      <c r="A330" t="s">
        <v>337</v>
      </c>
      <c r="B330" t="s">
        <v>812</v>
      </c>
      <c r="C330" s="3">
        <v>45643</v>
      </c>
      <c r="D330" s="3">
        <v>45673</v>
      </c>
      <c r="E330">
        <v>1405.35</v>
      </c>
      <c r="F330" t="s">
        <v>818</v>
      </c>
      <c r="G330" t="s">
        <v>819</v>
      </c>
      <c r="H330" s="3">
        <v>45670</v>
      </c>
      <c r="I330" t="s">
        <v>822</v>
      </c>
      <c r="J330">
        <f t="shared" si="15"/>
        <v>-3</v>
      </c>
      <c r="K330" t="str">
        <f t="shared" si="16"/>
        <v>Pending</v>
      </c>
      <c r="L330">
        <f t="shared" ca="1" si="17"/>
        <v>460</v>
      </c>
    </row>
    <row r="331" spans="1:12" x14ac:dyDescent="0.3">
      <c r="A331" t="s">
        <v>338</v>
      </c>
      <c r="B331" t="s">
        <v>812</v>
      </c>
      <c r="C331" s="3">
        <v>45401</v>
      </c>
      <c r="D331" s="3">
        <v>45431</v>
      </c>
      <c r="E331">
        <v>4512.4399999999996</v>
      </c>
      <c r="F331" t="s">
        <v>818</v>
      </c>
      <c r="G331" t="s">
        <v>820</v>
      </c>
      <c r="H331" s="3">
        <v>45431</v>
      </c>
      <c r="I331" t="s">
        <v>822</v>
      </c>
      <c r="J331">
        <f t="shared" si="15"/>
        <v>0</v>
      </c>
      <c r="K331" t="str">
        <f t="shared" si="16"/>
        <v>On-Time</v>
      </c>
      <c r="L331">
        <f t="shared" ca="1" si="17"/>
        <v>702</v>
      </c>
    </row>
    <row r="332" spans="1:12" x14ac:dyDescent="0.3">
      <c r="A332" t="s">
        <v>339</v>
      </c>
      <c r="B332" t="s">
        <v>811</v>
      </c>
      <c r="C332" s="3">
        <v>45395</v>
      </c>
      <c r="D332" s="3">
        <v>45425</v>
      </c>
      <c r="E332">
        <v>1855.47</v>
      </c>
      <c r="F332" t="s">
        <v>814</v>
      </c>
      <c r="G332" t="s">
        <v>819</v>
      </c>
      <c r="H332" s="3">
        <v>45425</v>
      </c>
      <c r="I332" t="s">
        <v>822</v>
      </c>
      <c r="J332">
        <f t="shared" si="15"/>
        <v>0</v>
      </c>
      <c r="K332" t="str">
        <f t="shared" si="16"/>
        <v>Pending</v>
      </c>
      <c r="L332">
        <f t="shared" ca="1" si="17"/>
        <v>708</v>
      </c>
    </row>
    <row r="333" spans="1:12" x14ac:dyDescent="0.3">
      <c r="A333" t="s">
        <v>340</v>
      </c>
      <c r="B333" t="s">
        <v>810</v>
      </c>
      <c r="C333" s="3">
        <v>45633</v>
      </c>
      <c r="D333" s="3">
        <v>45663</v>
      </c>
      <c r="E333">
        <v>1596.9</v>
      </c>
      <c r="F333" t="s">
        <v>815</v>
      </c>
      <c r="G333" t="s">
        <v>821</v>
      </c>
      <c r="H333" s="3">
        <v>45663</v>
      </c>
      <c r="I333" t="s">
        <v>822</v>
      </c>
      <c r="J333">
        <f t="shared" si="15"/>
        <v>0</v>
      </c>
      <c r="K333" t="str">
        <f t="shared" si="16"/>
        <v>On-Time</v>
      </c>
      <c r="L333">
        <f t="shared" ca="1" si="17"/>
        <v>470</v>
      </c>
    </row>
    <row r="334" spans="1:12" x14ac:dyDescent="0.3">
      <c r="A334" t="s">
        <v>341</v>
      </c>
      <c r="B334" t="s">
        <v>810</v>
      </c>
      <c r="C334" s="3">
        <v>44949</v>
      </c>
      <c r="D334" s="3">
        <v>44979</v>
      </c>
      <c r="E334">
        <v>176.54</v>
      </c>
      <c r="F334" t="s">
        <v>815</v>
      </c>
      <c r="G334" t="s">
        <v>821</v>
      </c>
      <c r="H334" s="3">
        <v>44979</v>
      </c>
      <c r="I334" t="s">
        <v>822</v>
      </c>
      <c r="J334">
        <f t="shared" si="15"/>
        <v>0</v>
      </c>
      <c r="K334" t="str">
        <f t="shared" si="16"/>
        <v>On-Time</v>
      </c>
      <c r="L334">
        <f t="shared" ca="1" si="17"/>
        <v>1154</v>
      </c>
    </row>
    <row r="335" spans="1:12" x14ac:dyDescent="0.3">
      <c r="A335" t="s">
        <v>342</v>
      </c>
      <c r="B335" t="s">
        <v>811</v>
      </c>
      <c r="C335" s="3">
        <v>45705</v>
      </c>
      <c r="D335" s="3">
        <v>45735</v>
      </c>
      <c r="E335">
        <v>1225.82</v>
      </c>
      <c r="F335" t="s">
        <v>815</v>
      </c>
      <c r="G335" t="s">
        <v>819</v>
      </c>
      <c r="H335" s="3">
        <v>45741</v>
      </c>
      <c r="I335" t="s">
        <v>822</v>
      </c>
      <c r="J335">
        <f t="shared" si="15"/>
        <v>6</v>
      </c>
      <c r="K335" t="str">
        <f t="shared" si="16"/>
        <v>Pending</v>
      </c>
      <c r="L335">
        <f t="shared" ca="1" si="17"/>
        <v>398</v>
      </c>
    </row>
    <row r="336" spans="1:12" x14ac:dyDescent="0.3">
      <c r="A336" t="s">
        <v>343</v>
      </c>
      <c r="B336" t="s">
        <v>809</v>
      </c>
      <c r="C336" s="3">
        <v>45321</v>
      </c>
      <c r="D336" s="3">
        <v>45351</v>
      </c>
      <c r="E336">
        <v>355.21</v>
      </c>
      <c r="F336" t="s">
        <v>815</v>
      </c>
      <c r="G336" t="s">
        <v>819</v>
      </c>
      <c r="H336" s="3">
        <v>45354</v>
      </c>
      <c r="I336" t="s">
        <v>822</v>
      </c>
      <c r="J336">
        <f t="shared" si="15"/>
        <v>3</v>
      </c>
      <c r="K336" t="str">
        <f t="shared" si="16"/>
        <v>Pending</v>
      </c>
      <c r="L336">
        <f t="shared" ca="1" si="17"/>
        <v>782</v>
      </c>
    </row>
    <row r="337" spans="1:12" x14ac:dyDescent="0.3">
      <c r="A337" t="s">
        <v>344</v>
      </c>
      <c r="B337" t="s">
        <v>812</v>
      </c>
      <c r="C337" s="3">
        <v>45736</v>
      </c>
      <c r="D337" s="3">
        <v>45766</v>
      </c>
      <c r="E337">
        <v>4628.8599999999997</v>
      </c>
      <c r="F337" t="s">
        <v>814</v>
      </c>
      <c r="G337" t="s">
        <v>821</v>
      </c>
      <c r="H337" s="3">
        <v>45766</v>
      </c>
      <c r="I337" t="s">
        <v>822</v>
      </c>
      <c r="J337">
        <f t="shared" si="15"/>
        <v>0</v>
      </c>
      <c r="K337" t="str">
        <f t="shared" si="16"/>
        <v>On-Time</v>
      </c>
      <c r="L337">
        <f t="shared" ca="1" si="17"/>
        <v>367</v>
      </c>
    </row>
    <row r="338" spans="1:12" x14ac:dyDescent="0.3">
      <c r="A338" t="s">
        <v>345</v>
      </c>
      <c r="B338" t="s">
        <v>813</v>
      </c>
      <c r="C338" s="3">
        <v>45268</v>
      </c>
      <c r="D338" s="3">
        <v>45298</v>
      </c>
      <c r="E338">
        <v>2845.8</v>
      </c>
      <c r="F338" t="s">
        <v>814</v>
      </c>
      <c r="G338" t="s">
        <v>820</v>
      </c>
      <c r="H338" s="3">
        <v>45298</v>
      </c>
      <c r="I338" t="s">
        <v>822</v>
      </c>
      <c r="J338">
        <f t="shared" si="15"/>
        <v>0</v>
      </c>
      <c r="K338" t="str">
        <f t="shared" si="16"/>
        <v>On-Time</v>
      </c>
      <c r="L338">
        <f t="shared" ca="1" si="17"/>
        <v>835</v>
      </c>
    </row>
    <row r="339" spans="1:12" x14ac:dyDescent="0.3">
      <c r="A339" t="s">
        <v>346</v>
      </c>
      <c r="B339" t="s">
        <v>811</v>
      </c>
      <c r="C339" s="3">
        <v>45810</v>
      </c>
      <c r="D339" s="3">
        <v>45840</v>
      </c>
      <c r="E339">
        <v>1566.29</v>
      </c>
      <c r="F339" t="s">
        <v>814</v>
      </c>
      <c r="G339" t="s">
        <v>819</v>
      </c>
      <c r="H339" s="3">
        <v>45843</v>
      </c>
      <c r="I339" t="s">
        <v>822</v>
      </c>
      <c r="J339">
        <f t="shared" si="15"/>
        <v>3</v>
      </c>
      <c r="K339" t="str">
        <f t="shared" si="16"/>
        <v>Pending</v>
      </c>
      <c r="L339">
        <f t="shared" ca="1" si="17"/>
        <v>293</v>
      </c>
    </row>
    <row r="340" spans="1:12" x14ac:dyDescent="0.3">
      <c r="A340" t="s">
        <v>347</v>
      </c>
      <c r="B340" t="s">
        <v>812</v>
      </c>
      <c r="C340" s="3">
        <v>45235</v>
      </c>
      <c r="D340" s="3">
        <v>45265</v>
      </c>
      <c r="E340">
        <v>4917.53</v>
      </c>
      <c r="F340" t="s">
        <v>814</v>
      </c>
      <c r="G340" t="s">
        <v>821</v>
      </c>
      <c r="H340" s="3">
        <v>45265</v>
      </c>
      <c r="I340" t="s">
        <v>822</v>
      </c>
      <c r="J340">
        <f t="shared" si="15"/>
        <v>0</v>
      </c>
      <c r="K340" t="str">
        <f t="shared" si="16"/>
        <v>On-Time</v>
      </c>
      <c r="L340">
        <f t="shared" ca="1" si="17"/>
        <v>868</v>
      </c>
    </row>
    <row r="341" spans="1:12" x14ac:dyDescent="0.3">
      <c r="A341" t="s">
        <v>348</v>
      </c>
      <c r="B341" t="s">
        <v>813</v>
      </c>
      <c r="C341" s="3">
        <v>45282</v>
      </c>
      <c r="D341" s="3">
        <v>45312</v>
      </c>
      <c r="E341">
        <v>2748.45</v>
      </c>
      <c r="F341" t="s">
        <v>816</v>
      </c>
      <c r="G341" t="s">
        <v>819</v>
      </c>
      <c r="H341" s="3">
        <v>45322</v>
      </c>
      <c r="I341" t="s">
        <v>822</v>
      </c>
      <c r="J341">
        <f t="shared" si="15"/>
        <v>10</v>
      </c>
      <c r="K341" t="str">
        <f t="shared" si="16"/>
        <v>Pending</v>
      </c>
      <c r="L341">
        <f t="shared" ca="1" si="17"/>
        <v>821</v>
      </c>
    </row>
    <row r="342" spans="1:12" x14ac:dyDescent="0.3">
      <c r="A342" t="s">
        <v>349</v>
      </c>
      <c r="B342" t="s">
        <v>812</v>
      </c>
      <c r="C342" s="3">
        <v>45672</v>
      </c>
      <c r="D342" s="3">
        <v>45702</v>
      </c>
      <c r="E342">
        <v>2910.56</v>
      </c>
      <c r="F342" t="s">
        <v>818</v>
      </c>
      <c r="G342" t="s">
        <v>821</v>
      </c>
      <c r="H342" s="3">
        <v>45702</v>
      </c>
      <c r="I342" t="s">
        <v>822</v>
      </c>
      <c r="J342">
        <f t="shared" si="15"/>
        <v>0</v>
      </c>
      <c r="K342" t="str">
        <f t="shared" si="16"/>
        <v>On-Time</v>
      </c>
      <c r="L342">
        <f t="shared" ca="1" si="17"/>
        <v>431</v>
      </c>
    </row>
    <row r="343" spans="1:12" x14ac:dyDescent="0.3">
      <c r="A343" t="s">
        <v>350</v>
      </c>
      <c r="B343" t="s">
        <v>811</v>
      </c>
      <c r="C343" s="3">
        <v>45831</v>
      </c>
      <c r="D343" s="3">
        <v>45861</v>
      </c>
      <c r="E343">
        <v>728.89</v>
      </c>
      <c r="F343" t="s">
        <v>817</v>
      </c>
      <c r="G343" t="s">
        <v>820</v>
      </c>
      <c r="H343" s="3">
        <v>45870</v>
      </c>
      <c r="I343" t="s">
        <v>822</v>
      </c>
      <c r="J343">
        <f t="shared" si="15"/>
        <v>9</v>
      </c>
      <c r="K343" t="str">
        <f t="shared" si="16"/>
        <v>Late</v>
      </c>
      <c r="L343">
        <f t="shared" ca="1" si="17"/>
        <v>272</v>
      </c>
    </row>
    <row r="344" spans="1:12" x14ac:dyDescent="0.3">
      <c r="A344" t="s">
        <v>351</v>
      </c>
      <c r="B344" t="s">
        <v>809</v>
      </c>
      <c r="C344" s="3">
        <v>44981</v>
      </c>
      <c r="D344" s="3">
        <v>45011</v>
      </c>
      <c r="E344">
        <v>1790.61</v>
      </c>
      <c r="F344" t="s">
        <v>817</v>
      </c>
      <c r="G344" t="s">
        <v>820</v>
      </c>
      <c r="H344" s="3">
        <v>45018</v>
      </c>
      <c r="I344" t="s">
        <v>822</v>
      </c>
      <c r="J344">
        <f t="shared" si="15"/>
        <v>7</v>
      </c>
      <c r="K344" t="str">
        <f t="shared" si="16"/>
        <v>Late</v>
      </c>
      <c r="L344">
        <f t="shared" ca="1" si="17"/>
        <v>1122</v>
      </c>
    </row>
    <row r="345" spans="1:12" x14ac:dyDescent="0.3">
      <c r="A345" t="s">
        <v>352</v>
      </c>
      <c r="B345" t="s">
        <v>812</v>
      </c>
      <c r="C345" s="3">
        <v>45358</v>
      </c>
      <c r="D345" s="3">
        <v>45388</v>
      </c>
      <c r="E345">
        <v>3085.28</v>
      </c>
      <c r="F345" t="s">
        <v>816</v>
      </c>
      <c r="G345" t="s">
        <v>821</v>
      </c>
      <c r="H345" s="3">
        <v>45388</v>
      </c>
      <c r="I345" t="s">
        <v>822</v>
      </c>
      <c r="J345">
        <f t="shared" si="15"/>
        <v>0</v>
      </c>
      <c r="K345" t="str">
        <f t="shared" si="16"/>
        <v>On-Time</v>
      </c>
      <c r="L345">
        <f t="shared" ca="1" si="17"/>
        <v>745</v>
      </c>
    </row>
    <row r="346" spans="1:12" x14ac:dyDescent="0.3">
      <c r="A346" t="s">
        <v>353</v>
      </c>
      <c r="B346" t="s">
        <v>810</v>
      </c>
      <c r="C346" s="3">
        <v>45154</v>
      </c>
      <c r="D346" s="3">
        <v>45184</v>
      </c>
      <c r="E346">
        <v>899.5</v>
      </c>
      <c r="F346" t="s">
        <v>816</v>
      </c>
      <c r="G346" t="s">
        <v>819</v>
      </c>
      <c r="H346" s="3">
        <v>45186</v>
      </c>
      <c r="I346" t="s">
        <v>822</v>
      </c>
      <c r="J346">
        <f t="shared" si="15"/>
        <v>2</v>
      </c>
      <c r="K346" t="str">
        <f t="shared" si="16"/>
        <v>Pending</v>
      </c>
      <c r="L346">
        <f t="shared" ca="1" si="17"/>
        <v>949</v>
      </c>
    </row>
    <row r="347" spans="1:12" x14ac:dyDescent="0.3">
      <c r="A347" t="s">
        <v>354</v>
      </c>
      <c r="B347" t="s">
        <v>812</v>
      </c>
      <c r="C347" s="3">
        <v>44937</v>
      </c>
      <c r="D347" s="3">
        <v>44967</v>
      </c>
      <c r="E347">
        <v>1797.02</v>
      </c>
      <c r="F347" t="s">
        <v>817</v>
      </c>
      <c r="G347" t="s">
        <v>819</v>
      </c>
      <c r="H347" s="3">
        <v>44964</v>
      </c>
      <c r="I347" t="s">
        <v>822</v>
      </c>
      <c r="J347">
        <f t="shared" si="15"/>
        <v>-3</v>
      </c>
      <c r="K347" t="str">
        <f t="shared" si="16"/>
        <v>Pending</v>
      </c>
      <c r="L347">
        <f t="shared" ca="1" si="17"/>
        <v>1166</v>
      </c>
    </row>
    <row r="348" spans="1:12" x14ac:dyDescent="0.3">
      <c r="A348" t="s">
        <v>355</v>
      </c>
      <c r="B348" t="s">
        <v>811</v>
      </c>
      <c r="C348" s="3">
        <v>45169</v>
      </c>
      <c r="D348" s="3">
        <v>45199</v>
      </c>
      <c r="E348">
        <v>4901.42</v>
      </c>
      <c r="F348" t="s">
        <v>815</v>
      </c>
      <c r="G348" t="s">
        <v>819</v>
      </c>
      <c r="H348" s="3">
        <v>45196</v>
      </c>
      <c r="I348" t="s">
        <v>822</v>
      </c>
      <c r="J348">
        <f t="shared" si="15"/>
        <v>-3</v>
      </c>
      <c r="K348" t="str">
        <f t="shared" si="16"/>
        <v>Pending</v>
      </c>
      <c r="L348">
        <f t="shared" ca="1" si="17"/>
        <v>934</v>
      </c>
    </row>
    <row r="349" spans="1:12" x14ac:dyDescent="0.3">
      <c r="A349" t="s">
        <v>356</v>
      </c>
      <c r="B349" t="s">
        <v>812</v>
      </c>
      <c r="C349" s="3">
        <v>44962</v>
      </c>
      <c r="D349" s="3">
        <v>44992</v>
      </c>
      <c r="E349">
        <v>4612.1400000000003</v>
      </c>
      <c r="F349" t="s">
        <v>816</v>
      </c>
      <c r="G349" t="s">
        <v>821</v>
      </c>
      <c r="H349" s="3">
        <v>44992</v>
      </c>
      <c r="I349" t="s">
        <v>822</v>
      </c>
      <c r="J349">
        <f t="shared" si="15"/>
        <v>0</v>
      </c>
      <c r="K349" t="str">
        <f t="shared" si="16"/>
        <v>On-Time</v>
      </c>
      <c r="L349">
        <f t="shared" ca="1" si="17"/>
        <v>1141</v>
      </c>
    </row>
    <row r="350" spans="1:12" x14ac:dyDescent="0.3">
      <c r="A350" t="s">
        <v>357</v>
      </c>
      <c r="B350" t="s">
        <v>809</v>
      </c>
      <c r="C350" s="3">
        <v>45452</v>
      </c>
      <c r="D350" s="3">
        <v>45482</v>
      </c>
      <c r="E350">
        <v>3151.2</v>
      </c>
      <c r="F350" t="s">
        <v>815</v>
      </c>
      <c r="G350" t="s">
        <v>820</v>
      </c>
      <c r="H350" s="3">
        <v>45487</v>
      </c>
      <c r="I350" t="s">
        <v>822</v>
      </c>
      <c r="J350">
        <f t="shared" si="15"/>
        <v>5</v>
      </c>
      <c r="K350" t="str">
        <f t="shared" si="16"/>
        <v>Late</v>
      </c>
      <c r="L350">
        <f t="shared" ca="1" si="17"/>
        <v>651</v>
      </c>
    </row>
    <row r="351" spans="1:12" x14ac:dyDescent="0.3">
      <c r="A351" t="s">
        <v>358</v>
      </c>
      <c r="B351" t="s">
        <v>812</v>
      </c>
      <c r="C351" s="3">
        <v>45372</v>
      </c>
      <c r="D351" s="3">
        <v>45402</v>
      </c>
      <c r="E351">
        <v>4219.03</v>
      </c>
      <c r="F351" t="s">
        <v>818</v>
      </c>
      <c r="G351" t="s">
        <v>821</v>
      </c>
      <c r="H351" s="3">
        <v>45402</v>
      </c>
      <c r="I351" t="s">
        <v>822</v>
      </c>
      <c r="J351">
        <f t="shared" si="15"/>
        <v>0</v>
      </c>
      <c r="K351" t="str">
        <f t="shared" si="16"/>
        <v>On-Time</v>
      </c>
      <c r="L351">
        <f t="shared" ca="1" si="17"/>
        <v>731</v>
      </c>
    </row>
    <row r="352" spans="1:12" x14ac:dyDescent="0.3">
      <c r="A352" t="s">
        <v>359</v>
      </c>
      <c r="B352" t="s">
        <v>811</v>
      </c>
      <c r="C352" s="3">
        <v>45273</v>
      </c>
      <c r="D352" s="3">
        <v>45303</v>
      </c>
      <c r="E352">
        <v>4971.99</v>
      </c>
      <c r="F352" t="s">
        <v>814</v>
      </c>
      <c r="G352" t="s">
        <v>819</v>
      </c>
      <c r="H352" s="3">
        <v>45303</v>
      </c>
      <c r="I352" t="s">
        <v>822</v>
      </c>
      <c r="J352">
        <f t="shared" si="15"/>
        <v>0</v>
      </c>
      <c r="K352" t="str">
        <f t="shared" si="16"/>
        <v>Pending</v>
      </c>
      <c r="L352">
        <f t="shared" ca="1" si="17"/>
        <v>830</v>
      </c>
    </row>
    <row r="353" spans="1:12" x14ac:dyDescent="0.3">
      <c r="A353" t="s">
        <v>360</v>
      </c>
      <c r="B353" t="s">
        <v>810</v>
      </c>
      <c r="C353" s="3">
        <v>45281</v>
      </c>
      <c r="D353" s="3">
        <v>45311</v>
      </c>
      <c r="E353">
        <v>3366.62</v>
      </c>
      <c r="F353" t="s">
        <v>816</v>
      </c>
      <c r="G353" t="s">
        <v>821</v>
      </c>
      <c r="H353" s="3">
        <v>45311</v>
      </c>
      <c r="I353" t="s">
        <v>822</v>
      </c>
      <c r="J353">
        <f t="shared" si="15"/>
        <v>0</v>
      </c>
      <c r="K353" t="str">
        <f t="shared" si="16"/>
        <v>On-Time</v>
      </c>
      <c r="L353">
        <f t="shared" ca="1" si="17"/>
        <v>822</v>
      </c>
    </row>
    <row r="354" spans="1:12" x14ac:dyDescent="0.3">
      <c r="A354" t="s">
        <v>361</v>
      </c>
      <c r="B354" t="s">
        <v>813</v>
      </c>
      <c r="C354" s="3">
        <v>45735</v>
      </c>
      <c r="D354" s="3">
        <v>45765</v>
      </c>
      <c r="E354">
        <v>499.9</v>
      </c>
      <c r="F354" t="s">
        <v>815</v>
      </c>
      <c r="G354" t="s">
        <v>821</v>
      </c>
      <c r="H354" s="3">
        <v>45765</v>
      </c>
      <c r="I354" t="s">
        <v>822</v>
      </c>
      <c r="J354">
        <f t="shared" si="15"/>
        <v>0</v>
      </c>
      <c r="K354" t="str">
        <f t="shared" si="16"/>
        <v>On-Time</v>
      </c>
      <c r="L354">
        <f t="shared" ca="1" si="17"/>
        <v>368</v>
      </c>
    </row>
    <row r="355" spans="1:12" x14ac:dyDescent="0.3">
      <c r="A355" t="s">
        <v>362</v>
      </c>
      <c r="B355" t="s">
        <v>810</v>
      </c>
      <c r="C355" s="3">
        <v>45197</v>
      </c>
      <c r="D355" s="3">
        <v>45227</v>
      </c>
      <c r="E355">
        <v>4834.01</v>
      </c>
      <c r="F355" t="s">
        <v>816</v>
      </c>
      <c r="G355" t="s">
        <v>821</v>
      </c>
      <c r="H355" s="3">
        <v>45227</v>
      </c>
      <c r="I355" t="s">
        <v>822</v>
      </c>
      <c r="J355">
        <f t="shared" si="15"/>
        <v>0</v>
      </c>
      <c r="K355" t="str">
        <f t="shared" si="16"/>
        <v>On-Time</v>
      </c>
      <c r="L355">
        <f t="shared" ca="1" si="17"/>
        <v>906</v>
      </c>
    </row>
    <row r="356" spans="1:12" x14ac:dyDescent="0.3">
      <c r="A356" t="s">
        <v>363</v>
      </c>
      <c r="B356" t="s">
        <v>813</v>
      </c>
      <c r="C356" s="3">
        <v>45027</v>
      </c>
      <c r="D356" s="3">
        <v>45057</v>
      </c>
      <c r="E356">
        <v>1132.31</v>
      </c>
      <c r="F356" t="s">
        <v>817</v>
      </c>
      <c r="G356" t="s">
        <v>820</v>
      </c>
      <c r="H356" s="3">
        <v>45062</v>
      </c>
      <c r="I356" t="s">
        <v>822</v>
      </c>
      <c r="J356">
        <f t="shared" si="15"/>
        <v>5</v>
      </c>
      <c r="K356" t="str">
        <f t="shared" si="16"/>
        <v>Late</v>
      </c>
      <c r="L356">
        <f t="shared" ca="1" si="17"/>
        <v>1076</v>
      </c>
    </row>
    <row r="357" spans="1:12" x14ac:dyDescent="0.3">
      <c r="A357" t="s">
        <v>364</v>
      </c>
      <c r="B357" t="s">
        <v>813</v>
      </c>
      <c r="C357" s="3">
        <v>45797</v>
      </c>
      <c r="D357" s="3">
        <v>45827</v>
      </c>
      <c r="E357">
        <v>239.21</v>
      </c>
      <c r="F357" t="s">
        <v>814</v>
      </c>
      <c r="G357" t="s">
        <v>820</v>
      </c>
      <c r="H357" s="3">
        <v>45834</v>
      </c>
      <c r="I357" t="s">
        <v>822</v>
      </c>
      <c r="J357">
        <f t="shared" si="15"/>
        <v>7</v>
      </c>
      <c r="K357" t="str">
        <f t="shared" si="16"/>
        <v>Late</v>
      </c>
      <c r="L357">
        <f t="shared" ca="1" si="17"/>
        <v>306</v>
      </c>
    </row>
    <row r="358" spans="1:12" x14ac:dyDescent="0.3">
      <c r="A358" t="s">
        <v>365</v>
      </c>
      <c r="B358" t="s">
        <v>809</v>
      </c>
      <c r="C358" s="3">
        <v>45190</v>
      </c>
      <c r="D358" s="3">
        <v>45220</v>
      </c>
      <c r="E358">
        <v>1990.65</v>
      </c>
      <c r="F358" t="s">
        <v>814</v>
      </c>
      <c r="G358" t="s">
        <v>819</v>
      </c>
      <c r="H358" s="3">
        <v>45226</v>
      </c>
      <c r="I358" t="s">
        <v>822</v>
      </c>
      <c r="J358">
        <f t="shared" si="15"/>
        <v>6</v>
      </c>
      <c r="K358" t="str">
        <f t="shared" si="16"/>
        <v>Pending</v>
      </c>
      <c r="L358">
        <f t="shared" ca="1" si="17"/>
        <v>913</v>
      </c>
    </row>
    <row r="359" spans="1:12" x14ac:dyDescent="0.3">
      <c r="A359" t="s">
        <v>366</v>
      </c>
      <c r="B359" t="s">
        <v>809</v>
      </c>
      <c r="C359" s="3">
        <v>45160</v>
      </c>
      <c r="D359" s="3">
        <v>45190</v>
      </c>
      <c r="E359">
        <v>4029.65</v>
      </c>
      <c r="F359" t="s">
        <v>815</v>
      </c>
      <c r="G359" t="s">
        <v>821</v>
      </c>
      <c r="H359" s="3">
        <v>45190</v>
      </c>
      <c r="I359" t="s">
        <v>822</v>
      </c>
      <c r="J359">
        <f t="shared" si="15"/>
        <v>0</v>
      </c>
      <c r="K359" t="str">
        <f t="shared" si="16"/>
        <v>On-Time</v>
      </c>
      <c r="L359">
        <f t="shared" ca="1" si="17"/>
        <v>943</v>
      </c>
    </row>
    <row r="360" spans="1:12" x14ac:dyDescent="0.3">
      <c r="A360" t="s">
        <v>367</v>
      </c>
      <c r="B360" t="s">
        <v>810</v>
      </c>
      <c r="C360" s="3">
        <v>45545</v>
      </c>
      <c r="D360" s="3">
        <v>45575</v>
      </c>
      <c r="E360">
        <v>1667.66</v>
      </c>
      <c r="F360" t="s">
        <v>818</v>
      </c>
      <c r="G360" t="s">
        <v>819</v>
      </c>
      <c r="H360" s="3">
        <v>45578</v>
      </c>
      <c r="I360" t="s">
        <v>822</v>
      </c>
      <c r="J360">
        <f t="shared" si="15"/>
        <v>3</v>
      </c>
      <c r="K360" t="str">
        <f t="shared" si="16"/>
        <v>Pending</v>
      </c>
      <c r="L360">
        <f t="shared" ca="1" si="17"/>
        <v>558</v>
      </c>
    </row>
    <row r="361" spans="1:12" x14ac:dyDescent="0.3">
      <c r="A361" t="s">
        <v>368</v>
      </c>
      <c r="B361" t="s">
        <v>810</v>
      </c>
      <c r="C361" s="3">
        <v>45325</v>
      </c>
      <c r="D361" s="3">
        <v>45355</v>
      </c>
      <c r="E361">
        <v>687.7</v>
      </c>
      <c r="F361" t="s">
        <v>818</v>
      </c>
      <c r="G361" t="s">
        <v>819</v>
      </c>
      <c r="H361" s="3">
        <v>45355</v>
      </c>
      <c r="I361" t="s">
        <v>822</v>
      </c>
      <c r="J361">
        <f t="shared" si="15"/>
        <v>0</v>
      </c>
      <c r="K361" t="str">
        <f t="shared" si="16"/>
        <v>Pending</v>
      </c>
      <c r="L361">
        <f t="shared" ca="1" si="17"/>
        <v>778</v>
      </c>
    </row>
    <row r="362" spans="1:12" x14ac:dyDescent="0.3">
      <c r="A362" t="s">
        <v>369</v>
      </c>
      <c r="B362" t="s">
        <v>812</v>
      </c>
      <c r="C362" s="3">
        <v>45174</v>
      </c>
      <c r="D362" s="3">
        <v>45204</v>
      </c>
      <c r="E362">
        <v>1555.59</v>
      </c>
      <c r="F362" t="s">
        <v>817</v>
      </c>
      <c r="G362" t="s">
        <v>821</v>
      </c>
      <c r="H362" s="3">
        <v>45204</v>
      </c>
      <c r="I362" t="s">
        <v>822</v>
      </c>
      <c r="J362">
        <f t="shared" si="15"/>
        <v>0</v>
      </c>
      <c r="K362" t="str">
        <f t="shared" si="16"/>
        <v>On-Time</v>
      </c>
      <c r="L362">
        <f t="shared" ca="1" si="17"/>
        <v>929</v>
      </c>
    </row>
    <row r="363" spans="1:12" x14ac:dyDescent="0.3">
      <c r="A363" t="s">
        <v>370</v>
      </c>
      <c r="B363" t="s">
        <v>809</v>
      </c>
      <c r="C363" s="3">
        <v>45298</v>
      </c>
      <c r="D363" s="3">
        <v>45328</v>
      </c>
      <c r="E363">
        <v>937.69</v>
      </c>
      <c r="F363" t="s">
        <v>818</v>
      </c>
      <c r="G363" t="s">
        <v>821</v>
      </c>
      <c r="H363" s="3">
        <v>45328</v>
      </c>
      <c r="I363" t="s">
        <v>822</v>
      </c>
      <c r="J363">
        <f t="shared" si="15"/>
        <v>0</v>
      </c>
      <c r="K363" t="str">
        <f t="shared" si="16"/>
        <v>On-Time</v>
      </c>
      <c r="L363">
        <f t="shared" ca="1" si="17"/>
        <v>805</v>
      </c>
    </row>
    <row r="364" spans="1:12" x14ac:dyDescent="0.3">
      <c r="A364" t="s">
        <v>371</v>
      </c>
      <c r="B364" t="s">
        <v>811</v>
      </c>
      <c r="C364" s="3">
        <v>45307</v>
      </c>
      <c r="D364" s="3">
        <v>45337</v>
      </c>
      <c r="E364">
        <v>2005.72</v>
      </c>
      <c r="F364" t="s">
        <v>817</v>
      </c>
      <c r="G364" t="s">
        <v>821</v>
      </c>
      <c r="H364" s="3">
        <v>45337</v>
      </c>
      <c r="I364" t="s">
        <v>822</v>
      </c>
      <c r="J364">
        <f t="shared" si="15"/>
        <v>0</v>
      </c>
      <c r="K364" t="str">
        <f t="shared" si="16"/>
        <v>On-Time</v>
      </c>
      <c r="L364">
        <f t="shared" ca="1" si="17"/>
        <v>796</v>
      </c>
    </row>
    <row r="365" spans="1:12" x14ac:dyDescent="0.3">
      <c r="A365" t="s">
        <v>372</v>
      </c>
      <c r="B365" t="s">
        <v>809</v>
      </c>
      <c r="C365" s="3">
        <v>45306</v>
      </c>
      <c r="D365" s="3">
        <v>45336</v>
      </c>
      <c r="E365">
        <v>4353.25</v>
      </c>
      <c r="F365" t="s">
        <v>815</v>
      </c>
      <c r="G365" t="s">
        <v>821</v>
      </c>
      <c r="H365" s="3">
        <v>45336</v>
      </c>
      <c r="I365" t="s">
        <v>822</v>
      </c>
      <c r="J365">
        <f t="shared" si="15"/>
        <v>0</v>
      </c>
      <c r="K365" t="str">
        <f t="shared" si="16"/>
        <v>On-Time</v>
      </c>
      <c r="L365">
        <f t="shared" ca="1" si="17"/>
        <v>797</v>
      </c>
    </row>
    <row r="366" spans="1:12" x14ac:dyDescent="0.3">
      <c r="A366" t="s">
        <v>373</v>
      </c>
      <c r="B366" t="s">
        <v>809</v>
      </c>
      <c r="C366" s="3">
        <v>45653</v>
      </c>
      <c r="D366" s="3">
        <v>45683</v>
      </c>
      <c r="E366">
        <v>2122.23</v>
      </c>
      <c r="F366" t="s">
        <v>818</v>
      </c>
      <c r="G366" t="s">
        <v>819</v>
      </c>
      <c r="H366" s="3">
        <v>45682</v>
      </c>
      <c r="I366" t="s">
        <v>822</v>
      </c>
      <c r="J366">
        <f t="shared" si="15"/>
        <v>-1</v>
      </c>
      <c r="K366" t="str">
        <f t="shared" si="16"/>
        <v>Pending</v>
      </c>
      <c r="L366">
        <f t="shared" ca="1" si="17"/>
        <v>450</v>
      </c>
    </row>
    <row r="367" spans="1:12" x14ac:dyDescent="0.3">
      <c r="A367" t="s">
        <v>374</v>
      </c>
      <c r="B367" t="s">
        <v>813</v>
      </c>
      <c r="C367" s="3">
        <v>45756</v>
      </c>
      <c r="D367" s="3">
        <v>45786</v>
      </c>
      <c r="E367">
        <v>3957.87</v>
      </c>
      <c r="F367" t="s">
        <v>815</v>
      </c>
      <c r="G367" t="s">
        <v>820</v>
      </c>
      <c r="H367" s="3">
        <v>45786</v>
      </c>
      <c r="I367" t="s">
        <v>822</v>
      </c>
      <c r="J367">
        <f t="shared" si="15"/>
        <v>0</v>
      </c>
      <c r="K367" t="str">
        <f t="shared" si="16"/>
        <v>On-Time</v>
      </c>
      <c r="L367">
        <f t="shared" ca="1" si="17"/>
        <v>347</v>
      </c>
    </row>
    <row r="368" spans="1:12" x14ac:dyDescent="0.3">
      <c r="A368" t="s">
        <v>375</v>
      </c>
      <c r="B368" t="s">
        <v>809</v>
      </c>
      <c r="C368" s="3">
        <v>45495</v>
      </c>
      <c r="D368" s="3">
        <v>45525</v>
      </c>
      <c r="E368">
        <v>3266.74</v>
      </c>
      <c r="F368" t="s">
        <v>818</v>
      </c>
      <c r="G368" t="s">
        <v>820</v>
      </c>
      <c r="H368" s="3">
        <v>45523</v>
      </c>
      <c r="I368" t="s">
        <v>822</v>
      </c>
      <c r="J368">
        <f t="shared" si="15"/>
        <v>-2</v>
      </c>
      <c r="K368" t="str">
        <f t="shared" si="16"/>
        <v>On-Time</v>
      </c>
      <c r="L368">
        <f t="shared" ca="1" si="17"/>
        <v>608</v>
      </c>
    </row>
    <row r="369" spans="1:12" x14ac:dyDescent="0.3">
      <c r="A369" t="s">
        <v>376</v>
      </c>
      <c r="B369" t="s">
        <v>813</v>
      </c>
      <c r="C369" s="3">
        <v>45411</v>
      </c>
      <c r="D369" s="3">
        <v>45441</v>
      </c>
      <c r="E369">
        <v>4729.29</v>
      </c>
      <c r="F369" t="s">
        <v>818</v>
      </c>
      <c r="G369" t="s">
        <v>820</v>
      </c>
      <c r="H369" s="3">
        <v>45439</v>
      </c>
      <c r="I369" t="s">
        <v>822</v>
      </c>
      <c r="J369">
        <f t="shared" si="15"/>
        <v>-2</v>
      </c>
      <c r="K369" t="str">
        <f t="shared" si="16"/>
        <v>On-Time</v>
      </c>
      <c r="L369">
        <f t="shared" ca="1" si="17"/>
        <v>692</v>
      </c>
    </row>
    <row r="370" spans="1:12" x14ac:dyDescent="0.3">
      <c r="A370" t="s">
        <v>377</v>
      </c>
      <c r="B370" t="s">
        <v>811</v>
      </c>
      <c r="C370" s="3">
        <v>45731</v>
      </c>
      <c r="D370" s="3">
        <v>45761</v>
      </c>
      <c r="E370">
        <v>1404.93</v>
      </c>
      <c r="F370" t="s">
        <v>818</v>
      </c>
      <c r="G370" t="s">
        <v>820</v>
      </c>
      <c r="H370" s="3">
        <v>45771</v>
      </c>
      <c r="I370" t="s">
        <v>822</v>
      </c>
      <c r="J370">
        <f t="shared" si="15"/>
        <v>10</v>
      </c>
      <c r="K370" t="str">
        <f t="shared" si="16"/>
        <v>Late</v>
      </c>
      <c r="L370">
        <f t="shared" ca="1" si="17"/>
        <v>372</v>
      </c>
    </row>
    <row r="371" spans="1:12" x14ac:dyDescent="0.3">
      <c r="A371" t="s">
        <v>378</v>
      </c>
      <c r="B371" t="s">
        <v>813</v>
      </c>
      <c r="C371" s="3">
        <v>45631</v>
      </c>
      <c r="D371" s="3">
        <v>45661</v>
      </c>
      <c r="E371">
        <v>2397.5100000000002</v>
      </c>
      <c r="F371" t="s">
        <v>815</v>
      </c>
      <c r="G371" t="s">
        <v>820</v>
      </c>
      <c r="H371" s="3">
        <v>45665</v>
      </c>
      <c r="I371" t="s">
        <v>822</v>
      </c>
      <c r="J371">
        <f t="shared" si="15"/>
        <v>4</v>
      </c>
      <c r="K371" t="str">
        <f t="shared" si="16"/>
        <v>Late</v>
      </c>
      <c r="L371">
        <f t="shared" ca="1" si="17"/>
        <v>472</v>
      </c>
    </row>
    <row r="372" spans="1:12" x14ac:dyDescent="0.3">
      <c r="A372" t="s">
        <v>379</v>
      </c>
      <c r="B372" t="s">
        <v>813</v>
      </c>
      <c r="C372" s="3">
        <v>45005</v>
      </c>
      <c r="D372" s="3">
        <v>45035</v>
      </c>
      <c r="E372">
        <v>3324.14</v>
      </c>
      <c r="F372" t="s">
        <v>818</v>
      </c>
      <c r="G372" t="s">
        <v>821</v>
      </c>
      <c r="H372" s="3">
        <v>45035</v>
      </c>
      <c r="I372" t="s">
        <v>822</v>
      </c>
      <c r="J372">
        <f t="shared" si="15"/>
        <v>0</v>
      </c>
      <c r="K372" t="str">
        <f t="shared" si="16"/>
        <v>On-Time</v>
      </c>
      <c r="L372">
        <f t="shared" ca="1" si="17"/>
        <v>1098</v>
      </c>
    </row>
    <row r="373" spans="1:12" x14ac:dyDescent="0.3">
      <c r="A373" t="s">
        <v>380</v>
      </c>
      <c r="B373" t="s">
        <v>812</v>
      </c>
      <c r="C373" s="3">
        <v>45290</v>
      </c>
      <c r="D373" s="3">
        <v>45320</v>
      </c>
      <c r="E373">
        <v>4000.08</v>
      </c>
      <c r="F373" t="s">
        <v>816</v>
      </c>
      <c r="G373" t="s">
        <v>819</v>
      </c>
      <c r="H373" s="3">
        <v>45322</v>
      </c>
      <c r="I373" t="s">
        <v>822</v>
      </c>
      <c r="J373">
        <f t="shared" si="15"/>
        <v>2</v>
      </c>
      <c r="K373" t="str">
        <f t="shared" si="16"/>
        <v>Pending</v>
      </c>
      <c r="L373">
        <f t="shared" ca="1" si="17"/>
        <v>813</v>
      </c>
    </row>
    <row r="374" spans="1:12" x14ac:dyDescent="0.3">
      <c r="A374" t="s">
        <v>381</v>
      </c>
      <c r="B374" t="s">
        <v>812</v>
      </c>
      <c r="C374" s="3">
        <v>45788</v>
      </c>
      <c r="D374" s="3">
        <v>45818</v>
      </c>
      <c r="E374">
        <v>692.78</v>
      </c>
      <c r="F374" t="s">
        <v>814</v>
      </c>
      <c r="G374" t="s">
        <v>821</v>
      </c>
      <c r="H374" s="3">
        <v>45818</v>
      </c>
      <c r="I374" t="s">
        <v>822</v>
      </c>
      <c r="J374">
        <f t="shared" si="15"/>
        <v>0</v>
      </c>
      <c r="K374" t="str">
        <f t="shared" si="16"/>
        <v>On-Time</v>
      </c>
      <c r="L374">
        <f t="shared" ca="1" si="17"/>
        <v>315</v>
      </c>
    </row>
    <row r="375" spans="1:12" x14ac:dyDescent="0.3">
      <c r="A375" t="s">
        <v>382</v>
      </c>
      <c r="B375" t="s">
        <v>811</v>
      </c>
      <c r="C375" s="3">
        <v>45066</v>
      </c>
      <c r="D375" s="3">
        <v>45096</v>
      </c>
      <c r="E375">
        <v>485.69</v>
      </c>
      <c r="F375" t="s">
        <v>814</v>
      </c>
      <c r="G375" t="s">
        <v>820</v>
      </c>
      <c r="H375" s="3">
        <v>45104</v>
      </c>
      <c r="I375" t="s">
        <v>822</v>
      </c>
      <c r="J375">
        <f t="shared" si="15"/>
        <v>8</v>
      </c>
      <c r="K375" t="str">
        <f t="shared" si="16"/>
        <v>Late</v>
      </c>
      <c r="L375">
        <f t="shared" ca="1" si="17"/>
        <v>1037</v>
      </c>
    </row>
    <row r="376" spans="1:12" x14ac:dyDescent="0.3">
      <c r="A376" t="s">
        <v>383</v>
      </c>
      <c r="B376" t="s">
        <v>813</v>
      </c>
      <c r="C376" s="3">
        <v>45168</v>
      </c>
      <c r="D376" s="3">
        <v>45198</v>
      </c>
      <c r="E376">
        <v>2956.85</v>
      </c>
      <c r="F376" t="s">
        <v>814</v>
      </c>
      <c r="G376" t="s">
        <v>821</v>
      </c>
      <c r="H376" s="3">
        <v>45198</v>
      </c>
      <c r="I376" t="s">
        <v>822</v>
      </c>
      <c r="J376">
        <f t="shared" si="15"/>
        <v>0</v>
      </c>
      <c r="K376" t="str">
        <f t="shared" si="16"/>
        <v>On-Time</v>
      </c>
      <c r="L376">
        <f t="shared" ca="1" si="17"/>
        <v>935</v>
      </c>
    </row>
    <row r="377" spans="1:12" x14ac:dyDescent="0.3">
      <c r="A377" t="s">
        <v>384</v>
      </c>
      <c r="B377" t="s">
        <v>810</v>
      </c>
      <c r="C377" s="3">
        <v>45233</v>
      </c>
      <c r="D377" s="3">
        <v>45263</v>
      </c>
      <c r="E377">
        <v>2455.2600000000002</v>
      </c>
      <c r="F377" t="s">
        <v>815</v>
      </c>
      <c r="G377" t="s">
        <v>820</v>
      </c>
      <c r="H377" s="3">
        <v>45262</v>
      </c>
      <c r="I377" t="s">
        <v>822</v>
      </c>
      <c r="J377">
        <f t="shared" si="15"/>
        <v>-1</v>
      </c>
      <c r="K377" t="str">
        <f t="shared" si="16"/>
        <v>On-Time</v>
      </c>
      <c r="L377">
        <f t="shared" ca="1" si="17"/>
        <v>870</v>
      </c>
    </row>
    <row r="378" spans="1:12" x14ac:dyDescent="0.3">
      <c r="A378" t="s">
        <v>385</v>
      </c>
      <c r="B378" t="s">
        <v>811</v>
      </c>
      <c r="C378" s="3">
        <v>44958</v>
      </c>
      <c r="D378" s="3">
        <v>44988</v>
      </c>
      <c r="E378">
        <v>852.36</v>
      </c>
      <c r="F378" t="s">
        <v>815</v>
      </c>
      <c r="G378" t="s">
        <v>821</v>
      </c>
      <c r="H378" s="3">
        <v>44988</v>
      </c>
      <c r="I378" t="s">
        <v>822</v>
      </c>
      <c r="J378">
        <f t="shared" si="15"/>
        <v>0</v>
      </c>
      <c r="K378" t="str">
        <f t="shared" si="16"/>
        <v>On-Time</v>
      </c>
      <c r="L378">
        <f t="shared" ca="1" si="17"/>
        <v>1145</v>
      </c>
    </row>
    <row r="379" spans="1:12" x14ac:dyDescent="0.3">
      <c r="A379" t="s">
        <v>386</v>
      </c>
      <c r="B379" t="s">
        <v>813</v>
      </c>
      <c r="C379" s="3">
        <v>45129</v>
      </c>
      <c r="D379" s="3">
        <v>45159</v>
      </c>
      <c r="E379">
        <v>4885.47</v>
      </c>
      <c r="F379" t="s">
        <v>814</v>
      </c>
      <c r="G379" t="s">
        <v>820</v>
      </c>
      <c r="H379" s="3">
        <v>45169</v>
      </c>
      <c r="I379" t="s">
        <v>822</v>
      </c>
      <c r="J379">
        <f t="shared" si="15"/>
        <v>10</v>
      </c>
      <c r="K379" t="str">
        <f t="shared" si="16"/>
        <v>Late</v>
      </c>
      <c r="L379">
        <f t="shared" ca="1" si="17"/>
        <v>974</v>
      </c>
    </row>
    <row r="380" spans="1:12" x14ac:dyDescent="0.3">
      <c r="A380" t="s">
        <v>387</v>
      </c>
      <c r="B380" t="s">
        <v>813</v>
      </c>
      <c r="C380" s="3">
        <v>45521</v>
      </c>
      <c r="D380" s="3">
        <v>45551</v>
      </c>
      <c r="E380">
        <v>3332.33</v>
      </c>
      <c r="F380" t="s">
        <v>817</v>
      </c>
      <c r="G380" t="s">
        <v>819</v>
      </c>
      <c r="H380" s="3">
        <v>45549</v>
      </c>
      <c r="I380" t="s">
        <v>822</v>
      </c>
      <c r="J380">
        <f t="shared" si="15"/>
        <v>-2</v>
      </c>
      <c r="K380" t="str">
        <f t="shared" si="16"/>
        <v>Pending</v>
      </c>
      <c r="L380">
        <f t="shared" ca="1" si="17"/>
        <v>582</v>
      </c>
    </row>
    <row r="381" spans="1:12" x14ac:dyDescent="0.3">
      <c r="A381" t="s">
        <v>388</v>
      </c>
      <c r="B381" t="s">
        <v>813</v>
      </c>
      <c r="C381" s="3">
        <v>45170</v>
      </c>
      <c r="D381" s="3">
        <v>45200</v>
      </c>
      <c r="E381">
        <v>431.39</v>
      </c>
      <c r="F381" t="s">
        <v>817</v>
      </c>
      <c r="G381" t="s">
        <v>821</v>
      </c>
      <c r="H381" s="3">
        <v>45200</v>
      </c>
      <c r="I381" t="s">
        <v>822</v>
      </c>
      <c r="J381">
        <f t="shared" si="15"/>
        <v>0</v>
      </c>
      <c r="K381" t="str">
        <f t="shared" si="16"/>
        <v>On-Time</v>
      </c>
      <c r="L381">
        <f t="shared" ca="1" si="17"/>
        <v>933</v>
      </c>
    </row>
    <row r="382" spans="1:12" x14ac:dyDescent="0.3">
      <c r="A382" t="s">
        <v>389</v>
      </c>
      <c r="B382" t="s">
        <v>809</v>
      </c>
      <c r="C382" s="3">
        <v>45363</v>
      </c>
      <c r="D382" s="3">
        <v>45393</v>
      </c>
      <c r="E382">
        <v>2201.16</v>
      </c>
      <c r="F382" t="s">
        <v>816</v>
      </c>
      <c r="G382" t="s">
        <v>819</v>
      </c>
      <c r="H382" s="3">
        <v>45403</v>
      </c>
      <c r="I382" t="s">
        <v>822</v>
      </c>
      <c r="J382">
        <f t="shared" si="15"/>
        <v>10</v>
      </c>
      <c r="K382" t="str">
        <f t="shared" si="16"/>
        <v>Pending</v>
      </c>
      <c r="L382">
        <f t="shared" ca="1" si="17"/>
        <v>740</v>
      </c>
    </row>
    <row r="383" spans="1:12" x14ac:dyDescent="0.3">
      <c r="A383" t="s">
        <v>390</v>
      </c>
      <c r="B383" t="s">
        <v>812</v>
      </c>
      <c r="C383" s="3">
        <v>45552</v>
      </c>
      <c r="D383" s="3">
        <v>45582</v>
      </c>
      <c r="E383">
        <v>726.32</v>
      </c>
      <c r="F383" t="s">
        <v>816</v>
      </c>
      <c r="G383" t="s">
        <v>821</v>
      </c>
      <c r="H383" s="3">
        <v>45582</v>
      </c>
      <c r="I383" t="s">
        <v>822</v>
      </c>
      <c r="J383">
        <f t="shared" si="15"/>
        <v>0</v>
      </c>
      <c r="K383" t="str">
        <f t="shared" si="16"/>
        <v>On-Time</v>
      </c>
      <c r="L383">
        <f t="shared" ca="1" si="17"/>
        <v>551</v>
      </c>
    </row>
    <row r="384" spans="1:12" x14ac:dyDescent="0.3">
      <c r="A384" t="s">
        <v>391</v>
      </c>
      <c r="B384" t="s">
        <v>813</v>
      </c>
      <c r="C384" s="3">
        <v>45329</v>
      </c>
      <c r="D384" s="3">
        <v>45359</v>
      </c>
      <c r="E384">
        <v>4541.1000000000004</v>
      </c>
      <c r="F384" t="s">
        <v>818</v>
      </c>
      <c r="G384" t="s">
        <v>820</v>
      </c>
      <c r="H384" s="3">
        <v>45356</v>
      </c>
      <c r="I384" t="s">
        <v>822</v>
      </c>
      <c r="J384">
        <f t="shared" si="15"/>
        <v>-3</v>
      </c>
      <c r="K384" t="str">
        <f t="shared" si="16"/>
        <v>On-Time</v>
      </c>
      <c r="L384">
        <f t="shared" ca="1" si="17"/>
        <v>774</v>
      </c>
    </row>
    <row r="385" spans="1:12" x14ac:dyDescent="0.3">
      <c r="A385" t="s">
        <v>392</v>
      </c>
      <c r="B385" t="s">
        <v>810</v>
      </c>
      <c r="C385" s="3">
        <v>45797</v>
      </c>
      <c r="D385" s="3">
        <v>45827</v>
      </c>
      <c r="E385">
        <v>249.48</v>
      </c>
      <c r="F385" t="s">
        <v>815</v>
      </c>
      <c r="G385" t="s">
        <v>821</v>
      </c>
      <c r="H385" s="3">
        <v>45827</v>
      </c>
      <c r="I385" t="s">
        <v>822</v>
      </c>
      <c r="J385">
        <f t="shared" si="15"/>
        <v>0</v>
      </c>
      <c r="K385" t="str">
        <f t="shared" si="16"/>
        <v>On-Time</v>
      </c>
      <c r="L385">
        <f t="shared" ca="1" si="17"/>
        <v>306</v>
      </c>
    </row>
    <row r="386" spans="1:12" x14ac:dyDescent="0.3">
      <c r="A386" t="s">
        <v>393</v>
      </c>
      <c r="B386" t="s">
        <v>809</v>
      </c>
      <c r="C386" s="3">
        <v>45284</v>
      </c>
      <c r="D386" s="3">
        <v>45314</v>
      </c>
      <c r="E386">
        <v>3005.5</v>
      </c>
      <c r="F386" t="s">
        <v>814</v>
      </c>
      <c r="G386" t="s">
        <v>819</v>
      </c>
      <c r="H386" s="3">
        <v>45311</v>
      </c>
      <c r="I386" t="s">
        <v>822</v>
      </c>
      <c r="J386">
        <f t="shared" si="15"/>
        <v>-3</v>
      </c>
      <c r="K386" t="str">
        <f t="shared" si="16"/>
        <v>Pending</v>
      </c>
      <c r="L386">
        <f t="shared" ca="1" si="17"/>
        <v>819</v>
      </c>
    </row>
    <row r="387" spans="1:12" x14ac:dyDescent="0.3">
      <c r="A387" t="s">
        <v>394</v>
      </c>
      <c r="B387" t="s">
        <v>813</v>
      </c>
      <c r="C387" s="3">
        <v>44930</v>
      </c>
      <c r="D387" s="3">
        <v>44960</v>
      </c>
      <c r="E387">
        <v>1857.96</v>
      </c>
      <c r="F387" t="s">
        <v>814</v>
      </c>
      <c r="G387" t="s">
        <v>821</v>
      </c>
      <c r="H387" s="3">
        <v>44960</v>
      </c>
      <c r="I387" t="s">
        <v>822</v>
      </c>
      <c r="J387">
        <f t="shared" ref="J387:J450" si="18">IF(H387="",0,H387-D387)</f>
        <v>0</v>
      </c>
      <c r="K387" t="str">
        <f t="shared" ref="K387:K450" si="19">IF(G387="Open","Pending",IF(H387&lt;=D387,"On-Time","Late"))</f>
        <v>On-Time</v>
      </c>
      <c r="L387">
        <f t="shared" ref="L387:L450" ca="1" si="20">TODAY()-C387</f>
        <v>1173</v>
      </c>
    </row>
    <row r="388" spans="1:12" x14ac:dyDescent="0.3">
      <c r="A388" t="s">
        <v>395</v>
      </c>
      <c r="B388" t="s">
        <v>813</v>
      </c>
      <c r="C388" s="3">
        <v>45616</v>
      </c>
      <c r="D388" s="3">
        <v>45646</v>
      </c>
      <c r="E388">
        <v>915.02</v>
      </c>
      <c r="F388" t="s">
        <v>818</v>
      </c>
      <c r="G388" t="s">
        <v>819</v>
      </c>
      <c r="H388" s="3">
        <v>45649</v>
      </c>
      <c r="I388" t="s">
        <v>822</v>
      </c>
      <c r="J388">
        <f t="shared" si="18"/>
        <v>3</v>
      </c>
      <c r="K388" t="str">
        <f t="shared" si="19"/>
        <v>Pending</v>
      </c>
      <c r="L388">
        <f t="shared" ca="1" si="20"/>
        <v>487</v>
      </c>
    </row>
    <row r="389" spans="1:12" x14ac:dyDescent="0.3">
      <c r="A389" t="s">
        <v>396</v>
      </c>
      <c r="B389" t="s">
        <v>809</v>
      </c>
      <c r="C389" s="3">
        <v>45480</v>
      </c>
      <c r="D389" s="3">
        <v>45510</v>
      </c>
      <c r="E389">
        <v>4101.55</v>
      </c>
      <c r="F389" t="s">
        <v>816</v>
      </c>
      <c r="G389" t="s">
        <v>819</v>
      </c>
      <c r="H389" s="3">
        <v>45513</v>
      </c>
      <c r="I389" t="s">
        <v>822</v>
      </c>
      <c r="J389">
        <f t="shared" si="18"/>
        <v>3</v>
      </c>
      <c r="K389" t="str">
        <f t="shared" si="19"/>
        <v>Pending</v>
      </c>
      <c r="L389">
        <f t="shared" ca="1" si="20"/>
        <v>623</v>
      </c>
    </row>
    <row r="390" spans="1:12" x14ac:dyDescent="0.3">
      <c r="A390" t="s">
        <v>397</v>
      </c>
      <c r="B390" t="s">
        <v>812</v>
      </c>
      <c r="C390" s="3">
        <v>45272</v>
      </c>
      <c r="D390" s="3">
        <v>45302</v>
      </c>
      <c r="E390">
        <v>4184.6499999999996</v>
      </c>
      <c r="F390" t="s">
        <v>814</v>
      </c>
      <c r="G390" t="s">
        <v>820</v>
      </c>
      <c r="H390" s="3">
        <v>45309</v>
      </c>
      <c r="I390" t="s">
        <v>822</v>
      </c>
      <c r="J390">
        <f t="shared" si="18"/>
        <v>7</v>
      </c>
      <c r="K390" t="str">
        <f t="shared" si="19"/>
        <v>Late</v>
      </c>
      <c r="L390">
        <f t="shared" ca="1" si="20"/>
        <v>831</v>
      </c>
    </row>
    <row r="391" spans="1:12" x14ac:dyDescent="0.3">
      <c r="A391" t="s">
        <v>398</v>
      </c>
      <c r="B391" t="s">
        <v>811</v>
      </c>
      <c r="C391" s="3">
        <v>45408</v>
      </c>
      <c r="D391" s="3">
        <v>45438</v>
      </c>
      <c r="E391">
        <v>4769.93</v>
      </c>
      <c r="F391" t="s">
        <v>815</v>
      </c>
      <c r="G391" t="s">
        <v>819</v>
      </c>
      <c r="H391" s="3">
        <v>45446</v>
      </c>
      <c r="I391" t="s">
        <v>822</v>
      </c>
      <c r="J391">
        <f t="shared" si="18"/>
        <v>8</v>
      </c>
      <c r="K391" t="str">
        <f t="shared" si="19"/>
        <v>Pending</v>
      </c>
      <c r="L391">
        <f t="shared" ca="1" si="20"/>
        <v>695</v>
      </c>
    </row>
    <row r="392" spans="1:12" x14ac:dyDescent="0.3">
      <c r="A392" t="s">
        <v>399</v>
      </c>
      <c r="B392" t="s">
        <v>812</v>
      </c>
      <c r="C392" s="3">
        <v>45387</v>
      </c>
      <c r="D392" s="3">
        <v>45417</v>
      </c>
      <c r="E392">
        <v>3082.55</v>
      </c>
      <c r="F392" t="s">
        <v>818</v>
      </c>
      <c r="G392" t="s">
        <v>820</v>
      </c>
      <c r="H392" s="3">
        <v>45417</v>
      </c>
      <c r="I392" t="s">
        <v>822</v>
      </c>
      <c r="J392">
        <f t="shared" si="18"/>
        <v>0</v>
      </c>
      <c r="K392" t="str">
        <f t="shared" si="19"/>
        <v>On-Time</v>
      </c>
      <c r="L392">
        <f t="shared" ca="1" si="20"/>
        <v>716</v>
      </c>
    </row>
    <row r="393" spans="1:12" x14ac:dyDescent="0.3">
      <c r="A393" t="s">
        <v>400</v>
      </c>
      <c r="B393" t="s">
        <v>810</v>
      </c>
      <c r="C393" s="3">
        <v>45237</v>
      </c>
      <c r="D393" s="3">
        <v>45267</v>
      </c>
      <c r="E393">
        <v>4720.7700000000004</v>
      </c>
      <c r="F393" t="s">
        <v>817</v>
      </c>
      <c r="G393" t="s">
        <v>821</v>
      </c>
      <c r="H393" s="3">
        <v>45267</v>
      </c>
      <c r="I393" t="s">
        <v>822</v>
      </c>
      <c r="J393">
        <f t="shared" si="18"/>
        <v>0</v>
      </c>
      <c r="K393" t="str">
        <f t="shared" si="19"/>
        <v>On-Time</v>
      </c>
      <c r="L393">
        <f t="shared" ca="1" si="20"/>
        <v>866</v>
      </c>
    </row>
    <row r="394" spans="1:12" x14ac:dyDescent="0.3">
      <c r="A394" t="s">
        <v>401</v>
      </c>
      <c r="B394" t="s">
        <v>810</v>
      </c>
      <c r="C394" s="3">
        <v>45436</v>
      </c>
      <c r="D394" s="3">
        <v>45466</v>
      </c>
      <c r="E394">
        <v>4645.08</v>
      </c>
      <c r="F394" t="s">
        <v>818</v>
      </c>
      <c r="G394" t="s">
        <v>819</v>
      </c>
      <c r="H394" s="3">
        <v>45466</v>
      </c>
      <c r="I394" t="s">
        <v>822</v>
      </c>
      <c r="J394">
        <f t="shared" si="18"/>
        <v>0</v>
      </c>
      <c r="K394" t="str">
        <f t="shared" si="19"/>
        <v>Pending</v>
      </c>
      <c r="L394">
        <f t="shared" ca="1" si="20"/>
        <v>667</v>
      </c>
    </row>
    <row r="395" spans="1:12" x14ac:dyDescent="0.3">
      <c r="A395" t="s">
        <v>402</v>
      </c>
      <c r="B395" t="s">
        <v>810</v>
      </c>
      <c r="C395" s="3">
        <v>45464</v>
      </c>
      <c r="D395" s="3">
        <v>45494</v>
      </c>
      <c r="E395">
        <v>2488.5</v>
      </c>
      <c r="F395" t="s">
        <v>817</v>
      </c>
      <c r="G395" t="s">
        <v>819</v>
      </c>
      <c r="H395" s="3">
        <v>45501</v>
      </c>
      <c r="I395" t="s">
        <v>822</v>
      </c>
      <c r="J395">
        <f t="shared" si="18"/>
        <v>7</v>
      </c>
      <c r="K395" t="str">
        <f t="shared" si="19"/>
        <v>Pending</v>
      </c>
      <c r="L395">
        <f t="shared" ca="1" si="20"/>
        <v>639</v>
      </c>
    </row>
    <row r="396" spans="1:12" x14ac:dyDescent="0.3">
      <c r="A396" t="s">
        <v>403</v>
      </c>
      <c r="B396" t="s">
        <v>812</v>
      </c>
      <c r="C396" s="3">
        <v>45308</v>
      </c>
      <c r="D396" s="3">
        <v>45338</v>
      </c>
      <c r="E396">
        <v>4687.1499999999996</v>
      </c>
      <c r="F396" t="s">
        <v>815</v>
      </c>
      <c r="G396" t="s">
        <v>820</v>
      </c>
      <c r="H396" s="3">
        <v>45341</v>
      </c>
      <c r="I396" t="s">
        <v>822</v>
      </c>
      <c r="J396">
        <f t="shared" si="18"/>
        <v>3</v>
      </c>
      <c r="K396" t="str">
        <f t="shared" si="19"/>
        <v>Late</v>
      </c>
      <c r="L396">
        <f t="shared" ca="1" si="20"/>
        <v>795</v>
      </c>
    </row>
    <row r="397" spans="1:12" x14ac:dyDescent="0.3">
      <c r="A397" t="s">
        <v>404</v>
      </c>
      <c r="B397" t="s">
        <v>812</v>
      </c>
      <c r="C397" s="3">
        <v>45227</v>
      </c>
      <c r="D397" s="3">
        <v>45257</v>
      </c>
      <c r="E397">
        <v>3299.79</v>
      </c>
      <c r="F397" t="s">
        <v>817</v>
      </c>
      <c r="G397" t="s">
        <v>819</v>
      </c>
      <c r="H397" s="3">
        <v>45265</v>
      </c>
      <c r="I397" t="s">
        <v>822</v>
      </c>
      <c r="J397">
        <f t="shared" si="18"/>
        <v>8</v>
      </c>
      <c r="K397" t="str">
        <f t="shared" si="19"/>
        <v>Pending</v>
      </c>
      <c r="L397">
        <f t="shared" ca="1" si="20"/>
        <v>876</v>
      </c>
    </row>
    <row r="398" spans="1:12" x14ac:dyDescent="0.3">
      <c r="A398" t="s">
        <v>405</v>
      </c>
      <c r="B398" t="s">
        <v>810</v>
      </c>
      <c r="C398" s="3">
        <v>45541</v>
      </c>
      <c r="D398" s="3">
        <v>45571</v>
      </c>
      <c r="E398">
        <v>1150.1099999999999</v>
      </c>
      <c r="F398" t="s">
        <v>816</v>
      </c>
      <c r="G398" t="s">
        <v>821</v>
      </c>
      <c r="H398" s="3">
        <v>45571</v>
      </c>
      <c r="I398" t="s">
        <v>822</v>
      </c>
      <c r="J398">
        <f t="shared" si="18"/>
        <v>0</v>
      </c>
      <c r="K398" t="str">
        <f t="shared" si="19"/>
        <v>On-Time</v>
      </c>
      <c r="L398">
        <f t="shared" ca="1" si="20"/>
        <v>562</v>
      </c>
    </row>
    <row r="399" spans="1:12" x14ac:dyDescent="0.3">
      <c r="A399" t="s">
        <v>406</v>
      </c>
      <c r="B399" t="s">
        <v>812</v>
      </c>
      <c r="C399" s="3">
        <v>45329</v>
      </c>
      <c r="D399" s="3">
        <v>45359</v>
      </c>
      <c r="E399">
        <v>1440.98</v>
      </c>
      <c r="F399" t="s">
        <v>815</v>
      </c>
      <c r="G399" t="s">
        <v>819</v>
      </c>
      <c r="H399" s="3">
        <v>45365</v>
      </c>
      <c r="I399" t="s">
        <v>822</v>
      </c>
      <c r="J399">
        <f t="shared" si="18"/>
        <v>6</v>
      </c>
      <c r="K399" t="str">
        <f t="shared" si="19"/>
        <v>Pending</v>
      </c>
      <c r="L399">
        <f t="shared" ca="1" si="20"/>
        <v>774</v>
      </c>
    </row>
    <row r="400" spans="1:12" x14ac:dyDescent="0.3">
      <c r="A400" t="s">
        <v>407</v>
      </c>
      <c r="B400" t="s">
        <v>811</v>
      </c>
      <c r="C400" s="3">
        <v>45012</v>
      </c>
      <c r="D400" s="3">
        <v>45042</v>
      </c>
      <c r="E400">
        <v>4705.1499999999996</v>
      </c>
      <c r="F400" t="s">
        <v>818</v>
      </c>
      <c r="G400" t="s">
        <v>821</v>
      </c>
      <c r="H400" s="3">
        <v>45042</v>
      </c>
      <c r="I400" t="s">
        <v>822</v>
      </c>
      <c r="J400">
        <f t="shared" si="18"/>
        <v>0</v>
      </c>
      <c r="K400" t="str">
        <f t="shared" si="19"/>
        <v>On-Time</v>
      </c>
      <c r="L400">
        <f t="shared" ca="1" si="20"/>
        <v>1091</v>
      </c>
    </row>
    <row r="401" spans="1:12" x14ac:dyDescent="0.3">
      <c r="A401" t="s">
        <v>408</v>
      </c>
      <c r="B401" t="s">
        <v>813</v>
      </c>
      <c r="C401" s="3">
        <v>45086</v>
      </c>
      <c r="D401" s="3">
        <v>45116</v>
      </c>
      <c r="E401">
        <v>4226.8900000000003</v>
      </c>
      <c r="F401" t="s">
        <v>818</v>
      </c>
      <c r="G401" t="s">
        <v>821</v>
      </c>
      <c r="H401" s="3">
        <v>45116</v>
      </c>
      <c r="I401" t="s">
        <v>822</v>
      </c>
      <c r="J401">
        <f t="shared" si="18"/>
        <v>0</v>
      </c>
      <c r="K401" t="str">
        <f t="shared" si="19"/>
        <v>On-Time</v>
      </c>
      <c r="L401">
        <f t="shared" ca="1" si="20"/>
        <v>1017</v>
      </c>
    </row>
    <row r="402" spans="1:12" x14ac:dyDescent="0.3">
      <c r="A402" t="s">
        <v>409</v>
      </c>
      <c r="B402" t="s">
        <v>812</v>
      </c>
      <c r="C402" s="3">
        <v>45776</v>
      </c>
      <c r="D402" s="3">
        <v>45806</v>
      </c>
      <c r="E402">
        <v>4706.16</v>
      </c>
      <c r="F402" t="s">
        <v>816</v>
      </c>
      <c r="G402" t="s">
        <v>821</v>
      </c>
      <c r="H402" s="3">
        <v>45806</v>
      </c>
      <c r="I402" t="s">
        <v>822</v>
      </c>
      <c r="J402">
        <f t="shared" si="18"/>
        <v>0</v>
      </c>
      <c r="K402" t="str">
        <f t="shared" si="19"/>
        <v>On-Time</v>
      </c>
      <c r="L402">
        <f t="shared" ca="1" si="20"/>
        <v>327</v>
      </c>
    </row>
    <row r="403" spans="1:12" x14ac:dyDescent="0.3">
      <c r="A403" t="s">
        <v>410</v>
      </c>
      <c r="B403" t="s">
        <v>812</v>
      </c>
      <c r="C403" s="3">
        <v>45145</v>
      </c>
      <c r="D403" s="3">
        <v>45175</v>
      </c>
      <c r="E403">
        <v>4149.5200000000004</v>
      </c>
      <c r="F403" t="s">
        <v>817</v>
      </c>
      <c r="G403" t="s">
        <v>821</v>
      </c>
      <c r="H403" s="3">
        <v>45175</v>
      </c>
      <c r="I403" t="s">
        <v>822</v>
      </c>
      <c r="J403">
        <f t="shared" si="18"/>
        <v>0</v>
      </c>
      <c r="K403" t="str">
        <f t="shared" si="19"/>
        <v>On-Time</v>
      </c>
      <c r="L403">
        <f t="shared" ca="1" si="20"/>
        <v>958</v>
      </c>
    </row>
    <row r="404" spans="1:12" x14ac:dyDescent="0.3">
      <c r="A404" t="s">
        <v>411</v>
      </c>
      <c r="B404" t="s">
        <v>810</v>
      </c>
      <c r="C404" s="3">
        <v>45286</v>
      </c>
      <c r="D404" s="3">
        <v>45316</v>
      </c>
      <c r="E404">
        <v>1586.89</v>
      </c>
      <c r="F404" t="s">
        <v>814</v>
      </c>
      <c r="G404" t="s">
        <v>820</v>
      </c>
      <c r="H404" s="3">
        <v>45323</v>
      </c>
      <c r="I404" t="s">
        <v>822</v>
      </c>
      <c r="J404">
        <f t="shared" si="18"/>
        <v>7</v>
      </c>
      <c r="K404" t="str">
        <f t="shared" si="19"/>
        <v>Late</v>
      </c>
      <c r="L404">
        <f t="shared" ca="1" si="20"/>
        <v>817</v>
      </c>
    </row>
    <row r="405" spans="1:12" x14ac:dyDescent="0.3">
      <c r="A405" t="s">
        <v>412</v>
      </c>
      <c r="B405" t="s">
        <v>809</v>
      </c>
      <c r="C405" s="3">
        <v>45757</v>
      </c>
      <c r="D405" s="3">
        <v>45787</v>
      </c>
      <c r="E405">
        <v>2473.2600000000002</v>
      </c>
      <c r="F405" t="s">
        <v>817</v>
      </c>
      <c r="G405" t="s">
        <v>819</v>
      </c>
      <c r="H405" s="3">
        <v>45793</v>
      </c>
      <c r="I405" t="s">
        <v>822</v>
      </c>
      <c r="J405">
        <f t="shared" si="18"/>
        <v>6</v>
      </c>
      <c r="K405" t="str">
        <f t="shared" si="19"/>
        <v>Pending</v>
      </c>
      <c r="L405">
        <f t="shared" ca="1" si="20"/>
        <v>346</v>
      </c>
    </row>
    <row r="406" spans="1:12" x14ac:dyDescent="0.3">
      <c r="A406" t="s">
        <v>413</v>
      </c>
      <c r="B406" t="s">
        <v>809</v>
      </c>
      <c r="C406" s="3">
        <v>45577</v>
      </c>
      <c r="D406" s="3">
        <v>45607</v>
      </c>
      <c r="E406">
        <v>3115.36</v>
      </c>
      <c r="F406" t="s">
        <v>816</v>
      </c>
      <c r="G406" t="s">
        <v>819</v>
      </c>
      <c r="H406" s="3">
        <v>45609</v>
      </c>
      <c r="I406" t="s">
        <v>822</v>
      </c>
      <c r="J406">
        <f t="shared" si="18"/>
        <v>2</v>
      </c>
      <c r="K406" t="str">
        <f t="shared" si="19"/>
        <v>Pending</v>
      </c>
      <c r="L406">
        <f t="shared" ca="1" si="20"/>
        <v>526</v>
      </c>
    </row>
    <row r="407" spans="1:12" x14ac:dyDescent="0.3">
      <c r="A407" t="s">
        <v>414</v>
      </c>
      <c r="B407" t="s">
        <v>812</v>
      </c>
      <c r="C407" s="3">
        <v>45775</v>
      </c>
      <c r="D407" s="3">
        <v>45805</v>
      </c>
      <c r="E407">
        <v>2243.81</v>
      </c>
      <c r="F407" t="s">
        <v>818</v>
      </c>
      <c r="G407" t="s">
        <v>821</v>
      </c>
      <c r="H407" s="3">
        <v>45805</v>
      </c>
      <c r="I407" t="s">
        <v>822</v>
      </c>
      <c r="J407">
        <f t="shared" si="18"/>
        <v>0</v>
      </c>
      <c r="K407" t="str">
        <f t="shared" si="19"/>
        <v>On-Time</v>
      </c>
      <c r="L407">
        <f t="shared" ca="1" si="20"/>
        <v>328</v>
      </c>
    </row>
    <row r="408" spans="1:12" x14ac:dyDescent="0.3">
      <c r="A408" t="s">
        <v>415</v>
      </c>
      <c r="B408" t="s">
        <v>810</v>
      </c>
      <c r="C408" s="3">
        <v>45729</v>
      </c>
      <c r="D408" s="3">
        <v>45759</v>
      </c>
      <c r="E408">
        <v>2764.23</v>
      </c>
      <c r="F408" t="s">
        <v>816</v>
      </c>
      <c r="G408" t="s">
        <v>820</v>
      </c>
      <c r="H408" s="3">
        <v>45766</v>
      </c>
      <c r="I408" t="s">
        <v>822</v>
      </c>
      <c r="J408">
        <f t="shared" si="18"/>
        <v>7</v>
      </c>
      <c r="K408" t="str">
        <f t="shared" si="19"/>
        <v>Late</v>
      </c>
      <c r="L408">
        <f t="shared" ca="1" si="20"/>
        <v>374</v>
      </c>
    </row>
    <row r="409" spans="1:12" x14ac:dyDescent="0.3">
      <c r="A409" t="s">
        <v>416</v>
      </c>
      <c r="B409" t="s">
        <v>813</v>
      </c>
      <c r="C409" s="3">
        <v>45286</v>
      </c>
      <c r="D409" s="3">
        <v>45316</v>
      </c>
      <c r="E409">
        <v>4219.16</v>
      </c>
      <c r="F409" t="s">
        <v>817</v>
      </c>
      <c r="G409" t="s">
        <v>820</v>
      </c>
      <c r="H409" s="3">
        <v>45326</v>
      </c>
      <c r="I409" t="s">
        <v>822</v>
      </c>
      <c r="J409">
        <f t="shared" si="18"/>
        <v>10</v>
      </c>
      <c r="K409" t="str">
        <f t="shared" si="19"/>
        <v>Late</v>
      </c>
      <c r="L409">
        <f t="shared" ca="1" si="20"/>
        <v>817</v>
      </c>
    </row>
    <row r="410" spans="1:12" x14ac:dyDescent="0.3">
      <c r="A410" t="s">
        <v>417</v>
      </c>
      <c r="B410" t="s">
        <v>812</v>
      </c>
      <c r="C410" s="3">
        <v>45430</v>
      </c>
      <c r="D410" s="3">
        <v>45460</v>
      </c>
      <c r="E410">
        <v>2719.44</v>
      </c>
      <c r="F410" t="s">
        <v>815</v>
      </c>
      <c r="G410" t="s">
        <v>819</v>
      </c>
      <c r="H410" s="3">
        <v>45459</v>
      </c>
      <c r="I410" t="s">
        <v>822</v>
      </c>
      <c r="J410">
        <f t="shared" si="18"/>
        <v>-1</v>
      </c>
      <c r="K410" t="str">
        <f t="shared" si="19"/>
        <v>Pending</v>
      </c>
      <c r="L410">
        <f t="shared" ca="1" si="20"/>
        <v>673</v>
      </c>
    </row>
    <row r="411" spans="1:12" x14ac:dyDescent="0.3">
      <c r="A411" t="s">
        <v>418</v>
      </c>
      <c r="B411" t="s">
        <v>813</v>
      </c>
      <c r="C411" s="3">
        <v>45617</v>
      </c>
      <c r="D411" s="3">
        <v>45647</v>
      </c>
      <c r="E411">
        <v>3651.79</v>
      </c>
      <c r="F411" t="s">
        <v>815</v>
      </c>
      <c r="G411" t="s">
        <v>820</v>
      </c>
      <c r="H411" s="3">
        <v>45653</v>
      </c>
      <c r="I411" t="s">
        <v>822</v>
      </c>
      <c r="J411">
        <f t="shared" si="18"/>
        <v>6</v>
      </c>
      <c r="K411" t="str">
        <f t="shared" si="19"/>
        <v>Late</v>
      </c>
      <c r="L411">
        <f t="shared" ca="1" si="20"/>
        <v>486</v>
      </c>
    </row>
    <row r="412" spans="1:12" x14ac:dyDescent="0.3">
      <c r="A412" t="s">
        <v>419</v>
      </c>
      <c r="B412" t="s">
        <v>812</v>
      </c>
      <c r="C412" s="3">
        <v>45358</v>
      </c>
      <c r="D412" s="3">
        <v>45388</v>
      </c>
      <c r="E412">
        <v>1247.3</v>
      </c>
      <c r="F412" t="s">
        <v>818</v>
      </c>
      <c r="G412" t="s">
        <v>821</v>
      </c>
      <c r="H412" s="3">
        <v>45388</v>
      </c>
      <c r="I412" t="s">
        <v>822</v>
      </c>
      <c r="J412">
        <f t="shared" si="18"/>
        <v>0</v>
      </c>
      <c r="K412" t="str">
        <f t="shared" si="19"/>
        <v>On-Time</v>
      </c>
      <c r="L412">
        <f t="shared" ca="1" si="20"/>
        <v>745</v>
      </c>
    </row>
    <row r="413" spans="1:12" x14ac:dyDescent="0.3">
      <c r="A413" t="s">
        <v>420</v>
      </c>
      <c r="B413" t="s">
        <v>813</v>
      </c>
      <c r="C413" s="3">
        <v>45586</v>
      </c>
      <c r="D413" s="3">
        <v>45616</v>
      </c>
      <c r="E413">
        <v>1665.2</v>
      </c>
      <c r="F413" t="s">
        <v>818</v>
      </c>
      <c r="G413" t="s">
        <v>819</v>
      </c>
      <c r="H413" s="3">
        <v>45613</v>
      </c>
      <c r="I413" t="s">
        <v>822</v>
      </c>
      <c r="J413">
        <f t="shared" si="18"/>
        <v>-3</v>
      </c>
      <c r="K413" t="str">
        <f t="shared" si="19"/>
        <v>Pending</v>
      </c>
      <c r="L413">
        <f t="shared" ca="1" si="20"/>
        <v>517</v>
      </c>
    </row>
    <row r="414" spans="1:12" x14ac:dyDescent="0.3">
      <c r="A414" t="s">
        <v>421</v>
      </c>
      <c r="B414" t="s">
        <v>809</v>
      </c>
      <c r="C414" s="3">
        <v>45769</v>
      </c>
      <c r="D414" s="3">
        <v>45799</v>
      </c>
      <c r="E414">
        <v>4157.1000000000004</v>
      </c>
      <c r="F414" t="s">
        <v>816</v>
      </c>
      <c r="G414" t="s">
        <v>820</v>
      </c>
      <c r="H414" s="3">
        <v>45806</v>
      </c>
      <c r="I414" t="s">
        <v>822</v>
      </c>
      <c r="J414">
        <f t="shared" si="18"/>
        <v>7</v>
      </c>
      <c r="K414" t="str">
        <f t="shared" si="19"/>
        <v>Late</v>
      </c>
      <c r="L414">
        <f t="shared" ca="1" si="20"/>
        <v>334</v>
      </c>
    </row>
    <row r="415" spans="1:12" x14ac:dyDescent="0.3">
      <c r="A415" t="s">
        <v>422</v>
      </c>
      <c r="B415" t="s">
        <v>812</v>
      </c>
      <c r="C415" s="3">
        <v>45078</v>
      </c>
      <c r="D415" s="3">
        <v>45108</v>
      </c>
      <c r="E415">
        <v>4306.1000000000004</v>
      </c>
      <c r="F415" t="s">
        <v>815</v>
      </c>
      <c r="G415" t="s">
        <v>820</v>
      </c>
      <c r="H415" s="3">
        <v>45106</v>
      </c>
      <c r="I415" t="s">
        <v>822</v>
      </c>
      <c r="J415">
        <f t="shared" si="18"/>
        <v>-2</v>
      </c>
      <c r="K415" t="str">
        <f t="shared" si="19"/>
        <v>On-Time</v>
      </c>
      <c r="L415">
        <f t="shared" ca="1" si="20"/>
        <v>1025</v>
      </c>
    </row>
    <row r="416" spans="1:12" x14ac:dyDescent="0.3">
      <c r="A416" t="s">
        <v>423</v>
      </c>
      <c r="B416" t="s">
        <v>811</v>
      </c>
      <c r="C416" s="3">
        <v>45549</v>
      </c>
      <c r="D416" s="3">
        <v>45579</v>
      </c>
      <c r="E416">
        <v>432.27</v>
      </c>
      <c r="F416" t="s">
        <v>818</v>
      </c>
      <c r="G416" t="s">
        <v>821</v>
      </c>
      <c r="H416" s="3">
        <v>45579</v>
      </c>
      <c r="I416" t="s">
        <v>822</v>
      </c>
      <c r="J416">
        <f t="shared" si="18"/>
        <v>0</v>
      </c>
      <c r="K416" t="str">
        <f t="shared" si="19"/>
        <v>On-Time</v>
      </c>
      <c r="L416">
        <f t="shared" ca="1" si="20"/>
        <v>554</v>
      </c>
    </row>
    <row r="417" spans="1:12" x14ac:dyDescent="0.3">
      <c r="A417" t="s">
        <v>424</v>
      </c>
      <c r="B417" t="s">
        <v>809</v>
      </c>
      <c r="C417" s="3">
        <v>45260</v>
      </c>
      <c r="D417" s="3">
        <v>45290</v>
      </c>
      <c r="E417">
        <v>2075.2199999999998</v>
      </c>
      <c r="F417" t="s">
        <v>818</v>
      </c>
      <c r="G417" t="s">
        <v>820</v>
      </c>
      <c r="H417" s="3">
        <v>45293</v>
      </c>
      <c r="I417" t="s">
        <v>822</v>
      </c>
      <c r="J417">
        <f t="shared" si="18"/>
        <v>3</v>
      </c>
      <c r="K417" t="str">
        <f t="shared" si="19"/>
        <v>Late</v>
      </c>
      <c r="L417">
        <f t="shared" ca="1" si="20"/>
        <v>843</v>
      </c>
    </row>
    <row r="418" spans="1:12" x14ac:dyDescent="0.3">
      <c r="A418" t="s">
        <v>425</v>
      </c>
      <c r="B418" t="s">
        <v>812</v>
      </c>
      <c r="C418" s="3">
        <v>44969</v>
      </c>
      <c r="D418" s="3">
        <v>44999</v>
      </c>
      <c r="E418">
        <v>2515.5700000000002</v>
      </c>
      <c r="F418" t="s">
        <v>816</v>
      </c>
      <c r="G418" t="s">
        <v>819</v>
      </c>
      <c r="H418" s="3">
        <v>45005</v>
      </c>
      <c r="I418" t="s">
        <v>822</v>
      </c>
      <c r="J418">
        <f t="shared" si="18"/>
        <v>6</v>
      </c>
      <c r="K418" t="str">
        <f t="shared" si="19"/>
        <v>Pending</v>
      </c>
      <c r="L418">
        <f t="shared" ca="1" si="20"/>
        <v>1134</v>
      </c>
    </row>
    <row r="419" spans="1:12" x14ac:dyDescent="0.3">
      <c r="A419" t="s">
        <v>426</v>
      </c>
      <c r="B419" t="s">
        <v>812</v>
      </c>
      <c r="C419" s="3">
        <v>45265</v>
      </c>
      <c r="D419" s="3">
        <v>45295</v>
      </c>
      <c r="E419">
        <v>1960.15</v>
      </c>
      <c r="F419" t="s">
        <v>817</v>
      </c>
      <c r="G419" t="s">
        <v>820</v>
      </c>
      <c r="H419" s="3">
        <v>45295</v>
      </c>
      <c r="I419" t="s">
        <v>822</v>
      </c>
      <c r="J419">
        <f t="shared" si="18"/>
        <v>0</v>
      </c>
      <c r="K419" t="str">
        <f t="shared" si="19"/>
        <v>On-Time</v>
      </c>
      <c r="L419">
        <f t="shared" ca="1" si="20"/>
        <v>838</v>
      </c>
    </row>
    <row r="420" spans="1:12" x14ac:dyDescent="0.3">
      <c r="A420" t="s">
        <v>427</v>
      </c>
      <c r="B420" t="s">
        <v>811</v>
      </c>
      <c r="C420" s="3">
        <v>45131</v>
      </c>
      <c r="D420" s="3">
        <v>45161</v>
      </c>
      <c r="E420">
        <v>3168.02</v>
      </c>
      <c r="F420" t="s">
        <v>818</v>
      </c>
      <c r="G420" t="s">
        <v>820</v>
      </c>
      <c r="H420" s="3">
        <v>45168</v>
      </c>
      <c r="I420" t="s">
        <v>822</v>
      </c>
      <c r="J420">
        <f t="shared" si="18"/>
        <v>7</v>
      </c>
      <c r="K420" t="str">
        <f t="shared" si="19"/>
        <v>Late</v>
      </c>
      <c r="L420">
        <f t="shared" ca="1" si="20"/>
        <v>972</v>
      </c>
    </row>
    <row r="421" spans="1:12" x14ac:dyDescent="0.3">
      <c r="A421" t="s">
        <v>428</v>
      </c>
      <c r="B421" t="s">
        <v>813</v>
      </c>
      <c r="C421" s="3">
        <v>45077</v>
      </c>
      <c r="D421" s="3">
        <v>45107</v>
      </c>
      <c r="E421">
        <v>576.42999999999995</v>
      </c>
      <c r="F421" t="s">
        <v>817</v>
      </c>
      <c r="G421" t="s">
        <v>821</v>
      </c>
      <c r="H421" s="3">
        <v>45107</v>
      </c>
      <c r="I421" t="s">
        <v>822</v>
      </c>
      <c r="J421">
        <f t="shared" si="18"/>
        <v>0</v>
      </c>
      <c r="K421" t="str">
        <f t="shared" si="19"/>
        <v>On-Time</v>
      </c>
      <c r="L421">
        <f t="shared" ca="1" si="20"/>
        <v>1026</v>
      </c>
    </row>
    <row r="422" spans="1:12" x14ac:dyDescent="0.3">
      <c r="A422" t="s">
        <v>429</v>
      </c>
      <c r="B422" t="s">
        <v>812</v>
      </c>
      <c r="C422" s="3">
        <v>45670</v>
      </c>
      <c r="D422" s="3">
        <v>45700</v>
      </c>
      <c r="E422">
        <v>460.35</v>
      </c>
      <c r="F422" t="s">
        <v>817</v>
      </c>
      <c r="G422" t="s">
        <v>819</v>
      </c>
      <c r="H422" s="3">
        <v>45700</v>
      </c>
      <c r="I422" t="s">
        <v>822</v>
      </c>
      <c r="J422">
        <f t="shared" si="18"/>
        <v>0</v>
      </c>
      <c r="K422" t="str">
        <f t="shared" si="19"/>
        <v>Pending</v>
      </c>
      <c r="L422">
        <f t="shared" ca="1" si="20"/>
        <v>433</v>
      </c>
    </row>
    <row r="423" spans="1:12" x14ac:dyDescent="0.3">
      <c r="A423" t="s">
        <v>430</v>
      </c>
      <c r="B423" t="s">
        <v>812</v>
      </c>
      <c r="C423" s="3">
        <v>45704</v>
      </c>
      <c r="D423" s="3">
        <v>45734</v>
      </c>
      <c r="E423">
        <v>2305.42</v>
      </c>
      <c r="F423" t="s">
        <v>817</v>
      </c>
      <c r="G423" t="s">
        <v>819</v>
      </c>
      <c r="H423" s="3">
        <v>45732</v>
      </c>
      <c r="I423" t="s">
        <v>822</v>
      </c>
      <c r="J423">
        <f t="shared" si="18"/>
        <v>-2</v>
      </c>
      <c r="K423" t="str">
        <f t="shared" si="19"/>
        <v>Pending</v>
      </c>
      <c r="L423">
        <f t="shared" ca="1" si="20"/>
        <v>399</v>
      </c>
    </row>
    <row r="424" spans="1:12" x14ac:dyDescent="0.3">
      <c r="A424" t="s">
        <v>431</v>
      </c>
      <c r="B424" t="s">
        <v>811</v>
      </c>
      <c r="C424" s="3">
        <v>45276</v>
      </c>
      <c r="D424" s="3">
        <v>45306</v>
      </c>
      <c r="E424">
        <v>2623.62</v>
      </c>
      <c r="F424" t="s">
        <v>816</v>
      </c>
      <c r="G424" t="s">
        <v>820</v>
      </c>
      <c r="H424" s="3">
        <v>45310</v>
      </c>
      <c r="I424" t="s">
        <v>822</v>
      </c>
      <c r="J424">
        <f t="shared" si="18"/>
        <v>4</v>
      </c>
      <c r="K424" t="str">
        <f t="shared" si="19"/>
        <v>Late</v>
      </c>
      <c r="L424">
        <f t="shared" ca="1" si="20"/>
        <v>827</v>
      </c>
    </row>
    <row r="425" spans="1:12" x14ac:dyDescent="0.3">
      <c r="A425" t="s">
        <v>432</v>
      </c>
      <c r="B425" t="s">
        <v>810</v>
      </c>
      <c r="C425" s="3">
        <v>45342</v>
      </c>
      <c r="D425" s="3">
        <v>45372</v>
      </c>
      <c r="E425">
        <v>1571.77</v>
      </c>
      <c r="F425" t="s">
        <v>814</v>
      </c>
      <c r="G425" t="s">
        <v>819</v>
      </c>
      <c r="H425" s="3">
        <v>45373</v>
      </c>
      <c r="I425" t="s">
        <v>822</v>
      </c>
      <c r="J425">
        <f t="shared" si="18"/>
        <v>1</v>
      </c>
      <c r="K425" t="str">
        <f t="shared" si="19"/>
        <v>Pending</v>
      </c>
      <c r="L425">
        <f t="shared" ca="1" si="20"/>
        <v>761</v>
      </c>
    </row>
    <row r="426" spans="1:12" x14ac:dyDescent="0.3">
      <c r="A426" t="s">
        <v>433</v>
      </c>
      <c r="B426" t="s">
        <v>810</v>
      </c>
      <c r="C426" s="3">
        <v>45061</v>
      </c>
      <c r="D426" s="3">
        <v>45091</v>
      </c>
      <c r="E426">
        <v>4241.5600000000004</v>
      </c>
      <c r="F426" t="s">
        <v>815</v>
      </c>
      <c r="G426" t="s">
        <v>819</v>
      </c>
      <c r="H426" s="3">
        <v>45089</v>
      </c>
      <c r="I426" t="s">
        <v>822</v>
      </c>
      <c r="J426">
        <f t="shared" si="18"/>
        <v>-2</v>
      </c>
      <c r="K426" t="str">
        <f t="shared" si="19"/>
        <v>Pending</v>
      </c>
      <c r="L426">
        <f t="shared" ca="1" si="20"/>
        <v>1042</v>
      </c>
    </row>
    <row r="427" spans="1:12" x14ac:dyDescent="0.3">
      <c r="A427" t="s">
        <v>434</v>
      </c>
      <c r="B427" t="s">
        <v>809</v>
      </c>
      <c r="C427" s="3">
        <v>45086</v>
      </c>
      <c r="D427" s="3">
        <v>45116</v>
      </c>
      <c r="E427">
        <v>3066.36</v>
      </c>
      <c r="F427" t="s">
        <v>815</v>
      </c>
      <c r="G427" t="s">
        <v>821</v>
      </c>
      <c r="H427" s="3">
        <v>45116</v>
      </c>
      <c r="I427" t="s">
        <v>822</v>
      </c>
      <c r="J427">
        <f t="shared" si="18"/>
        <v>0</v>
      </c>
      <c r="K427" t="str">
        <f t="shared" si="19"/>
        <v>On-Time</v>
      </c>
      <c r="L427">
        <f t="shared" ca="1" si="20"/>
        <v>1017</v>
      </c>
    </row>
    <row r="428" spans="1:12" x14ac:dyDescent="0.3">
      <c r="A428" t="s">
        <v>435</v>
      </c>
      <c r="B428" t="s">
        <v>811</v>
      </c>
      <c r="C428" s="3">
        <v>45653</v>
      </c>
      <c r="D428" s="3">
        <v>45683</v>
      </c>
      <c r="E428">
        <v>1623.29</v>
      </c>
      <c r="F428" t="s">
        <v>818</v>
      </c>
      <c r="G428" t="s">
        <v>820</v>
      </c>
      <c r="H428" s="3">
        <v>45690</v>
      </c>
      <c r="I428" t="s">
        <v>822</v>
      </c>
      <c r="J428">
        <f t="shared" si="18"/>
        <v>7</v>
      </c>
      <c r="K428" t="str">
        <f t="shared" si="19"/>
        <v>Late</v>
      </c>
      <c r="L428">
        <f t="shared" ca="1" si="20"/>
        <v>450</v>
      </c>
    </row>
    <row r="429" spans="1:12" x14ac:dyDescent="0.3">
      <c r="A429" t="s">
        <v>436</v>
      </c>
      <c r="B429" t="s">
        <v>809</v>
      </c>
      <c r="C429" s="3">
        <v>45115</v>
      </c>
      <c r="D429" s="3">
        <v>45145</v>
      </c>
      <c r="E429">
        <v>4738.84</v>
      </c>
      <c r="F429" t="s">
        <v>817</v>
      </c>
      <c r="G429" t="s">
        <v>820</v>
      </c>
      <c r="H429" s="3">
        <v>45147</v>
      </c>
      <c r="I429" t="s">
        <v>822</v>
      </c>
      <c r="J429">
        <f t="shared" si="18"/>
        <v>2</v>
      </c>
      <c r="K429" t="str">
        <f t="shared" si="19"/>
        <v>Late</v>
      </c>
      <c r="L429">
        <f t="shared" ca="1" si="20"/>
        <v>988</v>
      </c>
    </row>
    <row r="430" spans="1:12" x14ac:dyDescent="0.3">
      <c r="A430" t="s">
        <v>437</v>
      </c>
      <c r="B430" t="s">
        <v>809</v>
      </c>
      <c r="C430" s="3">
        <v>45179</v>
      </c>
      <c r="D430" s="3">
        <v>45209</v>
      </c>
      <c r="E430">
        <v>2769.92</v>
      </c>
      <c r="F430" t="s">
        <v>815</v>
      </c>
      <c r="G430" t="s">
        <v>820</v>
      </c>
      <c r="H430" s="3">
        <v>45218</v>
      </c>
      <c r="I430" t="s">
        <v>822</v>
      </c>
      <c r="J430">
        <f t="shared" si="18"/>
        <v>9</v>
      </c>
      <c r="K430" t="str">
        <f t="shared" si="19"/>
        <v>Late</v>
      </c>
      <c r="L430">
        <f t="shared" ca="1" si="20"/>
        <v>924</v>
      </c>
    </row>
    <row r="431" spans="1:12" x14ac:dyDescent="0.3">
      <c r="A431" t="s">
        <v>438</v>
      </c>
      <c r="B431" t="s">
        <v>809</v>
      </c>
      <c r="C431" s="3">
        <v>45641</v>
      </c>
      <c r="D431" s="3">
        <v>45671</v>
      </c>
      <c r="E431">
        <v>2883.34</v>
      </c>
      <c r="F431" t="s">
        <v>816</v>
      </c>
      <c r="G431" t="s">
        <v>819</v>
      </c>
      <c r="H431" s="3">
        <v>45676</v>
      </c>
      <c r="I431" t="s">
        <v>822</v>
      </c>
      <c r="J431">
        <f t="shared" si="18"/>
        <v>5</v>
      </c>
      <c r="K431" t="str">
        <f t="shared" si="19"/>
        <v>Pending</v>
      </c>
      <c r="L431">
        <f t="shared" ca="1" si="20"/>
        <v>462</v>
      </c>
    </row>
    <row r="432" spans="1:12" x14ac:dyDescent="0.3">
      <c r="A432" t="s">
        <v>439</v>
      </c>
      <c r="B432" t="s">
        <v>811</v>
      </c>
      <c r="C432" s="3">
        <v>45447</v>
      </c>
      <c r="D432" s="3">
        <v>45477</v>
      </c>
      <c r="E432">
        <v>2334.1799999999998</v>
      </c>
      <c r="F432" t="s">
        <v>818</v>
      </c>
      <c r="G432" t="s">
        <v>819</v>
      </c>
      <c r="H432" s="3">
        <v>45479</v>
      </c>
      <c r="I432" t="s">
        <v>822</v>
      </c>
      <c r="J432">
        <f t="shared" si="18"/>
        <v>2</v>
      </c>
      <c r="K432" t="str">
        <f t="shared" si="19"/>
        <v>Pending</v>
      </c>
      <c r="L432">
        <f t="shared" ca="1" si="20"/>
        <v>656</v>
      </c>
    </row>
    <row r="433" spans="1:12" x14ac:dyDescent="0.3">
      <c r="A433" t="s">
        <v>440</v>
      </c>
      <c r="B433" t="s">
        <v>813</v>
      </c>
      <c r="C433" s="3">
        <v>45219</v>
      </c>
      <c r="D433" s="3">
        <v>45249</v>
      </c>
      <c r="E433">
        <v>3148.17</v>
      </c>
      <c r="F433" t="s">
        <v>817</v>
      </c>
      <c r="G433" t="s">
        <v>819</v>
      </c>
      <c r="H433" s="3">
        <v>45250</v>
      </c>
      <c r="I433" t="s">
        <v>822</v>
      </c>
      <c r="J433">
        <f t="shared" si="18"/>
        <v>1</v>
      </c>
      <c r="K433" t="str">
        <f t="shared" si="19"/>
        <v>Pending</v>
      </c>
      <c r="L433">
        <f t="shared" ca="1" si="20"/>
        <v>884</v>
      </c>
    </row>
    <row r="434" spans="1:12" x14ac:dyDescent="0.3">
      <c r="A434" t="s">
        <v>441</v>
      </c>
      <c r="B434" t="s">
        <v>813</v>
      </c>
      <c r="C434" s="3">
        <v>45573</v>
      </c>
      <c r="D434" s="3">
        <v>45603</v>
      </c>
      <c r="E434">
        <v>1378.14</v>
      </c>
      <c r="F434" t="s">
        <v>816</v>
      </c>
      <c r="G434" t="s">
        <v>821</v>
      </c>
      <c r="H434" s="3">
        <v>45603</v>
      </c>
      <c r="I434" t="s">
        <v>822</v>
      </c>
      <c r="J434">
        <f t="shared" si="18"/>
        <v>0</v>
      </c>
      <c r="K434" t="str">
        <f t="shared" si="19"/>
        <v>On-Time</v>
      </c>
      <c r="L434">
        <f t="shared" ca="1" si="20"/>
        <v>530</v>
      </c>
    </row>
    <row r="435" spans="1:12" x14ac:dyDescent="0.3">
      <c r="A435" t="s">
        <v>442</v>
      </c>
      <c r="B435" t="s">
        <v>812</v>
      </c>
      <c r="C435" s="3">
        <v>45699</v>
      </c>
      <c r="D435" s="3">
        <v>45729</v>
      </c>
      <c r="E435">
        <v>275.33999999999997</v>
      </c>
      <c r="F435" t="s">
        <v>816</v>
      </c>
      <c r="G435" t="s">
        <v>819</v>
      </c>
      <c r="H435" s="3">
        <v>45727</v>
      </c>
      <c r="I435" t="s">
        <v>822</v>
      </c>
      <c r="J435">
        <f t="shared" si="18"/>
        <v>-2</v>
      </c>
      <c r="K435" t="str">
        <f t="shared" si="19"/>
        <v>Pending</v>
      </c>
      <c r="L435">
        <f t="shared" ca="1" si="20"/>
        <v>404</v>
      </c>
    </row>
    <row r="436" spans="1:12" x14ac:dyDescent="0.3">
      <c r="A436" t="s">
        <v>443</v>
      </c>
      <c r="B436" t="s">
        <v>809</v>
      </c>
      <c r="C436" s="3">
        <v>45016</v>
      </c>
      <c r="D436" s="3">
        <v>45046</v>
      </c>
      <c r="E436">
        <v>2274.14</v>
      </c>
      <c r="F436" t="s">
        <v>814</v>
      </c>
      <c r="G436" t="s">
        <v>820</v>
      </c>
      <c r="H436" s="3">
        <v>45043</v>
      </c>
      <c r="I436" t="s">
        <v>822</v>
      </c>
      <c r="J436">
        <f t="shared" si="18"/>
        <v>-3</v>
      </c>
      <c r="K436" t="str">
        <f t="shared" si="19"/>
        <v>On-Time</v>
      </c>
      <c r="L436">
        <f t="shared" ca="1" si="20"/>
        <v>1087</v>
      </c>
    </row>
    <row r="437" spans="1:12" x14ac:dyDescent="0.3">
      <c r="A437" t="s">
        <v>444</v>
      </c>
      <c r="B437" t="s">
        <v>812</v>
      </c>
      <c r="C437" s="3">
        <v>45181</v>
      </c>
      <c r="D437" s="3">
        <v>45211</v>
      </c>
      <c r="E437">
        <v>800.97</v>
      </c>
      <c r="F437" t="s">
        <v>815</v>
      </c>
      <c r="G437" t="s">
        <v>821</v>
      </c>
      <c r="H437" s="3">
        <v>45211</v>
      </c>
      <c r="I437" t="s">
        <v>822</v>
      </c>
      <c r="J437">
        <f t="shared" si="18"/>
        <v>0</v>
      </c>
      <c r="K437" t="str">
        <f t="shared" si="19"/>
        <v>On-Time</v>
      </c>
      <c r="L437">
        <f t="shared" ca="1" si="20"/>
        <v>922</v>
      </c>
    </row>
    <row r="438" spans="1:12" x14ac:dyDescent="0.3">
      <c r="A438" t="s">
        <v>445</v>
      </c>
      <c r="B438" t="s">
        <v>811</v>
      </c>
      <c r="C438" s="3">
        <v>44964</v>
      </c>
      <c r="D438" s="3">
        <v>44994</v>
      </c>
      <c r="E438">
        <v>2595.11</v>
      </c>
      <c r="F438" t="s">
        <v>818</v>
      </c>
      <c r="G438" t="s">
        <v>819</v>
      </c>
      <c r="H438" s="3">
        <v>45000</v>
      </c>
      <c r="I438" t="s">
        <v>822</v>
      </c>
      <c r="J438">
        <f t="shared" si="18"/>
        <v>6</v>
      </c>
      <c r="K438" t="str">
        <f t="shared" si="19"/>
        <v>Pending</v>
      </c>
      <c r="L438">
        <f t="shared" ca="1" si="20"/>
        <v>1139</v>
      </c>
    </row>
    <row r="439" spans="1:12" x14ac:dyDescent="0.3">
      <c r="A439" t="s">
        <v>446</v>
      </c>
      <c r="B439" t="s">
        <v>812</v>
      </c>
      <c r="C439" s="3">
        <v>45210</v>
      </c>
      <c r="D439" s="3">
        <v>45240</v>
      </c>
      <c r="E439">
        <v>4967.66</v>
      </c>
      <c r="F439" t="s">
        <v>817</v>
      </c>
      <c r="G439" t="s">
        <v>821</v>
      </c>
      <c r="H439" s="3">
        <v>45240</v>
      </c>
      <c r="I439" t="s">
        <v>822</v>
      </c>
      <c r="J439">
        <f t="shared" si="18"/>
        <v>0</v>
      </c>
      <c r="K439" t="str">
        <f t="shared" si="19"/>
        <v>On-Time</v>
      </c>
      <c r="L439">
        <f t="shared" ca="1" si="20"/>
        <v>893</v>
      </c>
    </row>
    <row r="440" spans="1:12" x14ac:dyDescent="0.3">
      <c r="A440" t="s">
        <v>447</v>
      </c>
      <c r="B440" t="s">
        <v>809</v>
      </c>
      <c r="C440" s="3">
        <v>45361</v>
      </c>
      <c r="D440" s="3">
        <v>45391</v>
      </c>
      <c r="E440">
        <v>523.04999999999995</v>
      </c>
      <c r="F440" t="s">
        <v>814</v>
      </c>
      <c r="G440" t="s">
        <v>819</v>
      </c>
      <c r="H440" s="3">
        <v>45391</v>
      </c>
      <c r="I440" t="s">
        <v>822</v>
      </c>
      <c r="J440">
        <f t="shared" si="18"/>
        <v>0</v>
      </c>
      <c r="K440" t="str">
        <f t="shared" si="19"/>
        <v>Pending</v>
      </c>
      <c r="L440">
        <f t="shared" ca="1" si="20"/>
        <v>742</v>
      </c>
    </row>
    <row r="441" spans="1:12" x14ac:dyDescent="0.3">
      <c r="A441" t="s">
        <v>448</v>
      </c>
      <c r="B441" t="s">
        <v>811</v>
      </c>
      <c r="C441" s="3">
        <v>45075</v>
      </c>
      <c r="D441" s="3">
        <v>45105</v>
      </c>
      <c r="E441">
        <v>3485.01</v>
      </c>
      <c r="F441" t="s">
        <v>814</v>
      </c>
      <c r="G441" t="s">
        <v>821</v>
      </c>
      <c r="H441" s="3">
        <v>45105</v>
      </c>
      <c r="I441" t="s">
        <v>822</v>
      </c>
      <c r="J441">
        <f t="shared" si="18"/>
        <v>0</v>
      </c>
      <c r="K441" t="str">
        <f t="shared" si="19"/>
        <v>On-Time</v>
      </c>
      <c r="L441">
        <f t="shared" ca="1" si="20"/>
        <v>1028</v>
      </c>
    </row>
    <row r="442" spans="1:12" x14ac:dyDescent="0.3">
      <c r="A442" t="s">
        <v>449</v>
      </c>
      <c r="B442" t="s">
        <v>810</v>
      </c>
      <c r="C442" s="3">
        <v>44961</v>
      </c>
      <c r="D442" s="3">
        <v>44991</v>
      </c>
      <c r="E442">
        <v>2251.04</v>
      </c>
      <c r="F442" t="s">
        <v>814</v>
      </c>
      <c r="G442" t="s">
        <v>821</v>
      </c>
      <c r="H442" s="3">
        <v>44991</v>
      </c>
      <c r="I442" t="s">
        <v>822</v>
      </c>
      <c r="J442">
        <f t="shared" si="18"/>
        <v>0</v>
      </c>
      <c r="K442" t="str">
        <f t="shared" si="19"/>
        <v>On-Time</v>
      </c>
      <c r="L442">
        <f t="shared" ca="1" si="20"/>
        <v>1142</v>
      </c>
    </row>
    <row r="443" spans="1:12" x14ac:dyDescent="0.3">
      <c r="A443" t="s">
        <v>450</v>
      </c>
      <c r="B443" t="s">
        <v>813</v>
      </c>
      <c r="C443" s="3">
        <v>45210</v>
      </c>
      <c r="D443" s="3">
        <v>45240</v>
      </c>
      <c r="E443">
        <v>3521.51</v>
      </c>
      <c r="F443" t="s">
        <v>816</v>
      </c>
      <c r="G443" t="s">
        <v>821</v>
      </c>
      <c r="H443" s="3">
        <v>45240</v>
      </c>
      <c r="I443" t="s">
        <v>822</v>
      </c>
      <c r="J443">
        <f t="shared" si="18"/>
        <v>0</v>
      </c>
      <c r="K443" t="str">
        <f t="shared" si="19"/>
        <v>On-Time</v>
      </c>
      <c r="L443">
        <f t="shared" ca="1" si="20"/>
        <v>893</v>
      </c>
    </row>
    <row r="444" spans="1:12" x14ac:dyDescent="0.3">
      <c r="A444" t="s">
        <v>451</v>
      </c>
      <c r="B444" t="s">
        <v>810</v>
      </c>
      <c r="C444" s="3">
        <v>45756</v>
      </c>
      <c r="D444" s="3">
        <v>45786</v>
      </c>
      <c r="E444">
        <v>3808.69</v>
      </c>
      <c r="F444" t="s">
        <v>815</v>
      </c>
      <c r="G444" t="s">
        <v>819</v>
      </c>
      <c r="H444" s="3">
        <v>45785</v>
      </c>
      <c r="I444" t="s">
        <v>822</v>
      </c>
      <c r="J444">
        <f t="shared" si="18"/>
        <v>-1</v>
      </c>
      <c r="K444" t="str">
        <f t="shared" si="19"/>
        <v>Pending</v>
      </c>
      <c r="L444">
        <f t="shared" ca="1" si="20"/>
        <v>347</v>
      </c>
    </row>
    <row r="445" spans="1:12" x14ac:dyDescent="0.3">
      <c r="A445" t="s">
        <v>452</v>
      </c>
      <c r="B445" t="s">
        <v>811</v>
      </c>
      <c r="C445" s="3">
        <v>45063</v>
      </c>
      <c r="D445" s="3">
        <v>45093</v>
      </c>
      <c r="E445">
        <v>3920.07</v>
      </c>
      <c r="F445" t="s">
        <v>818</v>
      </c>
      <c r="G445" t="s">
        <v>821</v>
      </c>
      <c r="H445" s="3">
        <v>45093</v>
      </c>
      <c r="I445" t="s">
        <v>822</v>
      </c>
      <c r="J445">
        <f t="shared" si="18"/>
        <v>0</v>
      </c>
      <c r="K445" t="str">
        <f t="shared" si="19"/>
        <v>On-Time</v>
      </c>
      <c r="L445">
        <f t="shared" ca="1" si="20"/>
        <v>1040</v>
      </c>
    </row>
    <row r="446" spans="1:12" x14ac:dyDescent="0.3">
      <c r="A446" t="s">
        <v>453</v>
      </c>
      <c r="B446" t="s">
        <v>811</v>
      </c>
      <c r="C446" s="3">
        <v>45007</v>
      </c>
      <c r="D446" s="3">
        <v>45037</v>
      </c>
      <c r="E446">
        <v>4941.76</v>
      </c>
      <c r="F446" t="s">
        <v>816</v>
      </c>
      <c r="G446" t="s">
        <v>820</v>
      </c>
      <c r="H446" s="3">
        <v>45036</v>
      </c>
      <c r="I446" t="s">
        <v>822</v>
      </c>
      <c r="J446">
        <f t="shared" si="18"/>
        <v>-1</v>
      </c>
      <c r="K446" t="str">
        <f t="shared" si="19"/>
        <v>On-Time</v>
      </c>
      <c r="L446">
        <f t="shared" ca="1" si="20"/>
        <v>1096</v>
      </c>
    </row>
    <row r="447" spans="1:12" x14ac:dyDescent="0.3">
      <c r="A447" t="s">
        <v>454</v>
      </c>
      <c r="B447" t="s">
        <v>811</v>
      </c>
      <c r="C447" s="3">
        <v>45234</v>
      </c>
      <c r="D447" s="3">
        <v>45264</v>
      </c>
      <c r="E447">
        <v>1079.6099999999999</v>
      </c>
      <c r="F447" t="s">
        <v>817</v>
      </c>
      <c r="G447" t="s">
        <v>819</v>
      </c>
      <c r="H447" s="3">
        <v>45265</v>
      </c>
      <c r="I447" t="s">
        <v>822</v>
      </c>
      <c r="J447">
        <f t="shared" si="18"/>
        <v>1</v>
      </c>
      <c r="K447" t="str">
        <f t="shared" si="19"/>
        <v>Pending</v>
      </c>
      <c r="L447">
        <f t="shared" ca="1" si="20"/>
        <v>869</v>
      </c>
    </row>
    <row r="448" spans="1:12" x14ac:dyDescent="0.3">
      <c r="A448" t="s">
        <v>455</v>
      </c>
      <c r="B448" t="s">
        <v>811</v>
      </c>
      <c r="C448" s="3">
        <v>45072</v>
      </c>
      <c r="D448" s="3">
        <v>45102</v>
      </c>
      <c r="E448">
        <v>4688.33</v>
      </c>
      <c r="F448" t="s">
        <v>818</v>
      </c>
      <c r="G448" t="s">
        <v>821</v>
      </c>
      <c r="H448" s="3">
        <v>45102</v>
      </c>
      <c r="I448" t="s">
        <v>822</v>
      </c>
      <c r="J448">
        <f t="shared" si="18"/>
        <v>0</v>
      </c>
      <c r="K448" t="str">
        <f t="shared" si="19"/>
        <v>On-Time</v>
      </c>
      <c r="L448">
        <f t="shared" ca="1" si="20"/>
        <v>1031</v>
      </c>
    </row>
    <row r="449" spans="1:12" x14ac:dyDescent="0.3">
      <c r="A449" t="s">
        <v>456</v>
      </c>
      <c r="B449" t="s">
        <v>811</v>
      </c>
      <c r="C449" s="3">
        <v>45264</v>
      </c>
      <c r="D449" s="3">
        <v>45294</v>
      </c>
      <c r="E449">
        <v>705.05</v>
      </c>
      <c r="F449" t="s">
        <v>817</v>
      </c>
      <c r="G449" t="s">
        <v>820</v>
      </c>
      <c r="H449" s="3">
        <v>45294</v>
      </c>
      <c r="I449" t="s">
        <v>822</v>
      </c>
      <c r="J449">
        <f t="shared" si="18"/>
        <v>0</v>
      </c>
      <c r="K449" t="str">
        <f t="shared" si="19"/>
        <v>On-Time</v>
      </c>
      <c r="L449">
        <f t="shared" ca="1" si="20"/>
        <v>839</v>
      </c>
    </row>
    <row r="450" spans="1:12" x14ac:dyDescent="0.3">
      <c r="A450" t="s">
        <v>457</v>
      </c>
      <c r="B450" t="s">
        <v>812</v>
      </c>
      <c r="C450" s="3">
        <v>45068</v>
      </c>
      <c r="D450" s="3">
        <v>45098</v>
      </c>
      <c r="E450">
        <v>1193.94</v>
      </c>
      <c r="F450" t="s">
        <v>815</v>
      </c>
      <c r="G450" t="s">
        <v>819</v>
      </c>
      <c r="H450" s="3">
        <v>45107</v>
      </c>
      <c r="I450" t="s">
        <v>822</v>
      </c>
      <c r="J450">
        <f t="shared" si="18"/>
        <v>9</v>
      </c>
      <c r="K450" t="str">
        <f t="shared" si="19"/>
        <v>Pending</v>
      </c>
      <c r="L450">
        <f t="shared" ca="1" si="20"/>
        <v>1035</v>
      </c>
    </row>
    <row r="451" spans="1:12" x14ac:dyDescent="0.3">
      <c r="A451" t="s">
        <v>458</v>
      </c>
      <c r="B451" t="s">
        <v>812</v>
      </c>
      <c r="C451" s="3">
        <v>45571</v>
      </c>
      <c r="D451" s="3">
        <v>45601</v>
      </c>
      <c r="E451">
        <v>232.29</v>
      </c>
      <c r="F451" t="s">
        <v>817</v>
      </c>
      <c r="G451" t="s">
        <v>821</v>
      </c>
      <c r="H451" s="3">
        <v>45601</v>
      </c>
      <c r="I451" t="s">
        <v>822</v>
      </c>
      <c r="J451">
        <f t="shared" ref="J451:J514" si="21">IF(H451="",0,H451-D451)</f>
        <v>0</v>
      </c>
      <c r="K451" t="str">
        <f t="shared" ref="K451:K514" si="22">IF(G451="Open","Pending",IF(H451&lt;=D451,"On-Time","Late"))</f>
        <v>On-Time</v>
      </c>
      <c r="L451">
        <f t="shared" ref="L451:L514" ca="1" si="23">TODAY()-C451</f>
        <v>532</v>
      </c>
    </row>
    <row r="452" spans="1:12" x14ac:dyDescent="0.3">
      <c r="A452" t="s">
        <v>459</v>
      </c>
      <c r="B452" t="s">
        <v>810</v>
      </c>
      <c r="C452" s="3">
        <v>45317</v>
      </c>
      <c r="D452" s="3">
        <v>45347</v>
      </c>
      <c r="E452">
        <v>4202.26</v>
      </c>
      <c r="F452" t="s">
        <v>814</v>
      </c>
      <c r="G452" t="s">
        <v>820</v>
      </c>
      <c r="H452" s="3">
        <v>45354</v>
      </c>
      <c r="I452" t="s">
        <v>822</v>
      </c>
      <c r="J452">
        <f t="shared" si="21"/>
        <v>7</v>
      </c>
      <c r="K452" t="str">
        <f t="shared" si="22"/>
        <v>Late</v>
      </c>
      <c r="L452">
        <f t="shared" ca="1" si="23"/>
        <v>786</v>
      </c>
    </row>
    <row r="453" spans="1:12" x14ac:dyDescent="0.3">
      <c r="A453" t="s">
        <v>460</v>
      </c>
      <c r="B453" t="s">
        <v>813</v>
      </c>
      <c r="C453" s="3">
        <v>45315</v>
      </c>
      <c r="D453" s="3">
        <v>45345</v>
      </c>
      <c r="E453">
        <v>3696.33</v>
      </c>
      <c r="F453" t="s">
        <v>818</v>
      </c>
      <c r="G453" t="s">
        <v>821</v>
      </c>
      <c r="H453" s="3">
        <v>45345</v>
      </c>
      <c r="I453" t="s">
        <v>822</v>
      </c>
      <c r="J453">
        <f t="shared" si="21"/>
        <v>0</v>
      </c>
      <c r="K453" t="str">
        <f t="shared" si="22"/>
        <v>On-Time</v>
      </c>
      <c r="L453">
        <f t="shared" ca="1" si="23"/>
        <v>788</v>
      </c>
    </row>
    <row r="454" spans="1:12" x14ac:dyDescent="0.3">
      <c r="A454" t="s">
        <v>461</v>
      </c>
      <c r="B454" t="s">
        <v>812</v>
      </c>
      <c r="C454" s="3">
        <v>45319</v>
      </c>
      <c r="D454" s="3">
        <v>45349</v>
      </c>
      <c r="E454">
        <v>3133.53</v>
      </c>
      <c r="F454" t="s">
        <v>817</v>
      </c>
      <c r="G454" t="s">
        <v>821</v>
      </c>
      <c r="H454" s="3">
        <v>45349</v>
      </c>
      <c r="I454" t="s">
        <v>822</v>
      </c>
      <c r="J454">
        <f t="shared" si="21"/>
        <v>0</v>
      </c>
      <c r="K454" t="str">
        <f t="shared" si="22"/>
        <v>On-Time</v>
      </c>
      <c r="L454">
        <f t="shared" ca="1" si="23"/>
        <v>784</v>
      </c>
    </row>
    <row r="455" spans="1:12" x14ac:dyDescent="0.3">
      <c r="A455" t="s">
        <v>462</v>
      </c>
      <c r="B455" t="s">
        <v>809</v>
      </c>
      <c r="C455" s="3">
        <v>45460</v>
      </c>
      <c r="D455" s="3">
        <v>45490</v>
      </c>
      <c r="E455">
        <v>2405.39</v>
      </c>
      <c r="F455" t="s">
        <v>817</v>
      </c>
      <c r="G455" t="s">
        <v>821</v>
      </c>
      <c r="H455" s="3">
        <v>45490</v>
      </c>
      <c r="I455" t="s">
        <v>822</v>
      </c>
      <c r="J455">
        <f t="shared" si="21"/>
        <v>0</v>
      </c>
      <c r="K455" t="str">
        <f t="shared" si="22"/>
        <v>On-Time</v>
      </c>
      <c r="L455">
        <f t="shared" ca="1" si="23"/>
        <v>643</v>
      </c>
    </row>
    <row r="456" spans="1:12" x14ac:dyDescent="0.3">
      <c r="A456" t="s">
        <v>463</v>
      </c>
      <c r="B456" t="s">
        <v>812</v>
      </c>
      <c r="C456" s="3">
        <v>45302</v>
      </c>
      <c r="D456" s="3">
        <v>45332</v>
      </c>
      <c r="E456">
        <v>1074.8499999999999</v>
      </c>
      <c r="F456" t="s">
        <v>817</v>
      </c>
      <c r="G456" t="s">
        <v>820</v>
      </c>
      <c r="H456" s="3">
        <v>45334</v>
      </c>
      <c r="I456" t="s">
        <v>822</v>
      </c>
      <c r="J456">
        <f t="shared" si="21"/>
        <v>2</v>
      </c>
      <c r="K456" t="str">
        <f t="shared" si="22"/>
        <v>Late</v>
      </c>
      <c r="L456">
        <f t="shared" ca="1" si="23"/>
        <v>801</v>
      </c>
    </row>
    <row r="457" spans="1:12" x14ac:dyDescent="0.3">
      <c r="A457" t="s">
        <v>464</v>
      </c>
      <c r="B457" t="s">
        <v>811</v>
      </c>
      <c r="C457" s="3">
        <v>45648</v>
      </c>
      <c r="D457" s="3">
        <v>45678</v>
      </c>
      <c r="E457">
        <v>3359</v>
      </c>
      <c r="F457" t="s">
        <v>816</v>
      </c>
      <c r="G457" t="s">
        <v>819</v>
      </c>
      <c r="H457" s="3">
        <v>45682</v>
      </c>
      <c r="I457" t="s">
        <v>822</v>
      </c>
      <c r="J457">
        <f t="shared" si="21"/>
        <v>4</v>
      </c>
      <c r="K457" t="str">
        <f t="shared" si="22"/>
        <v>Pending</v>
      </c>
      <c r="L457">
        <f t="shared" ca="1" si="23"/>
        <v>455</v>
      </c>
    </row>
    <row r="458" spans="1:12" x14ac:dyDescent="0.3">
      <c r="A458" t="s">
        <v>465</v>
      </c>
      <c r="B458" t="s">
        <v>813</v>
      </c>
      <c r="C458" s="3">
        <v>45700</v>
      </c>
      <c r="D458" s="3">
        <v>45730</v>
      </c>
      <c r="E458">
        <v>419.58</v>
      </c>
      <c r="F458" t="s">
        <v>818</v>
      </c>
      <c r="G458" t="s">
        <v>821</v>
      </c>
      <c r="H458" s="3">
        <v>45730</v>
      </c>
      <c r="I458" t="s">
        <v>822</v>
      </c>
      <c r="J458">
        <f t="shared" si="21"/>
        <v>0</v>
      </c>
      <c r="K458" t="str">
        <f t="shared" si="22"/>
        <v>On-Time</v>
      </c>
      <c r="L458">
        <f t="shared" ca="1" si="23"/>
        <v>403</v>
      </c>
    </row>
    <row r="459" spans="1:12" x14ac:dyDescent="0.3">
      <c r="A459" t="s">
        <v>466</v>
      </c>
      <c r="B459" t="s">
        <v>810</v>
      </c>
      <c r="C459" s="3">
        <v>45376</v>
      </c>
      <c r="D459" s="3">
        <v>45406</v>
      </c>
      <c r="E459">
        <v>1704.27</v>
      </c>
      <c r="F459" t="s">
        <v>815</v>
      </c>
      <c r="G459" t="s">
        <v>819</v>
      </c>
      <c r="H459" s="3">
        <v>45412</v>
      </c>
      <c r="I459" t="s">
        <v>822</v>
      </c>
      <c r="J459">
        <f t="shared" si="21"/>
        <v>6</v>
      </c>
      <c r="K459" t="str">
        <f t="shared" si="22"/>
        <v>Pending</v>
      </c>
      <c r="L459">
        <f t="shared" ca="1" si="23"/>
        <v>727</v>
      </c>
    </row>
    <row r="460" spans="1:12" x14ac:dyDescent="0.3">
      <c r="A460" t="s">
        <v>467</v>
      </c>
      <c r="B460" t="s">
        <v>811</v>
      </c>
      <c r="C460" s="3">
        <v>45397</v>
      </c>
      <c r="D460" s="3">
        <v>45427</v>
      </c>
      <c r="E460">
        <v>1545.19</v>
      </c>
      <c r="F460" t="s">
        <v>816</v>
      </c>
      <c r="G460" t="s">
        <v>821</v>
      </c>
      <c r="H460" s="3">
        <v>45427</v>
      </c>
      <c r="I460" t="s">
        <v>822</v>
      </c>
      <c r="J460">
        <f t="shared" si="21"/>
        <v>0</v>
      </c>
      <c r="K460" t="str">
        <f t="shared" si="22"/>
        <v>On-Time</v>
      </c>
      <c r="L460">
        <f t="shared" ca="1" si="23"/>
        <v>706</v>
      </c>
    </row>
    <row r="461" spans="1:12" x14ac:dyDescent="0.3">
      <c r="A461" t="s">
        <v>468</v>
      </c>
      <c r="B461" t="s">
        <v>811</v>
      </c>
      <c r="C461" s="3">
        <v>45198</v>
      </c>
      <c r="D461" s="3">
        <v>45228</v>
      </c>
      <c r="E461">
        <v>3414.41</v>
      </c>
      <c r="F461" t="s">
        <v>818</v>
      </c>
      <c r="G461" t="s">
        <v>820</v>
      </c>
      <c r="H461" s="3">
        <v>45232</v>
      </c>
      <c r="I461" t="s">
        <v>822</v>
      </c>
      <c r="J461">
        <f t="shared" si="21"/>
        <v>4</v>
      </c>
      <c r="K461" t="str">
        <f t="shared" si="22"/>
        <v>Late</v>
      </c>
      <c r="L461">
        <f t="shared" ca="1" si="23"/>
        <v>905</v>
      </c>
    </row>
    <row r="462" spans="1:12" x14ac:dyDescent="0.3">
      <c r="A462" t="s">
        <v>469</v>
      </c>
      <c r="B462" t="s">
        <v>809</v>
      </c>
      <c r="C462" s="3">
        <v>45779</v>
      </c>
      <c r="D462" s="3">
        <v>45809</v>
      </c>
      <c r="E462">
        <v>3597.78</v>
      </c>
      <c r="F462" t="s">
        <v>817</v>
      </c>
      <c r="G462" t="s">
        <v>820</v>
      </c>
      <c r="H462" s="3">
        <v>45808</v>
      </c>
      <c r="I462" t="s">
        <v>822</v>
      </c>
      <c r="J462">
        <f t="shared" si="21"/>
        <v>-1</v>
      </c>
      <c r="K462" t="str">
        <f t="shared" si="22"/>
        <v>On-Time</v>
      </c>
      <c r="L462">
        <f t="shared" ca="1" si="23"/>
        <v>324</v>
      </c>
    </row>
    <row r="463" spans="1:12" x14ac:dyDescent="0.3">
      <c r="A463" t="s">
        <v>470</v>
      </c>
      <c r="B463" t="s">
        <v>810</v>
      </c>
      <c r="C463" s="3">
        <v>45599</v>
      </c>
      <c r="D463" s="3">
        <v>45629</v>
      </c>
      <c r="E463">
        <v>2642.3</v>
      </c>
      <c r="F463" t="s">
        <v>814</v>
      </c>
      <c r="G463" t="s">
        <v>819</v>
      </c>
      <c r="H463" s="3">
        <v>45634</v>
      </c>
      <c r="I463" t="s">
        <v>822</v>
      </c>
      <c r="J463">
        <f t="shared" si="21"/>
        <v>5</v>
      </c>
      <c r="K463" t="str">
        <f t="shared" si="22"/>
        <v>Pending</v>
      </c>
      <c r="L463">
        <f t="shared" ca="1" si="23"/>
        <v>504</v>
      </c>
    </row>
    <row r="464" spans="1:12" x14ac:dyDescent="0.3">
      <c r="A464" t="s">
        <v>471</v>
      </c>
      <c r="B464" t="s">
        <v>810</v>
      </c>
      <c r="C464" s="3">
        <v>44983</v>
      </c>
      <c r="D464" s="3">
        <v>45013</v>
      </c>
      <c r="E464">
        <v>4728.07</v>
      </c>
      <c r="F464" t="s">
        <v>818</v>
      </c>
      <c r="G464" t="s">
        <v>820</v>
      </c>
      <c r="H464" s="3">
        <v>45019</v>
      </c>
      <c r="I464" t="s">
        <v>822</v>
      </c>
      <c r="J464">
        <f t="shared" si="21"/>
        <v>6</v>
      </c>
      <c r="K464" t="str">
        <f t="shared" si="22"/>
        <v>Late</v>
      </c>
      <c r="L464">
        <f t="shared" ca="1" si="23"/>
        <v>1120</v>
      </c>
    </row>
    <row r="465" spans="1:12" x14ac:dyDescent="0.3">
      <c r="A465" t="s">
        <v>472</v>
      </c>
      <c r="B465" t="s">
        <v>813</v>
      </c>
      <c r="C465" s="3">
        <v>45624</v>
      </c>
      <c r="D465" s="3">
        <v>45654</v>
      </c>
      <c r="E465">
        <v>1560.4</v>
      </c>
      <c r="F465" t="s">
        <v>815</v>
      </c>
      <c r="G465" t="s">
        <v>820</v>
      </c>
      <c r="H465" s="3">
        <v>45653</v>
      </c>
      <c r="I465" t="s">
        <v>822</v>
      </c>
      <c r="J465">
        <f t="shared" si="21"/>
        <v>-1</v>
      </c>
      <c r="K465" t="str">
        <f t="shared" si="22"/>
        <v>On-Time</v>
      </c>
      <c r="L465">
        <f t="shared" ca="1" si="23"/>
        <v>479</v>
      </c>
    </row>
    <row r="466" spans="1:12" x14ac:dyDescent="0.3">
      <c r="A466" t="s">
        <v>473</v>
      </c>
      <c r="B466" t="s">
        <v>812</v>
      </c>
      <c r="C466" s="3">
        <v>45374</v>
      </c>
      <c r="D466" s="3">
        <v>45404</v>
      </c>
      <c r="E466">
        <v>2026.99</v>
      </c>
      <c r="F466" t="s">
        <v>816</v>
      </c>
      <c r="G466" t="s">
        <v>819</v>
      </c>
      <c r="H466" s="3">
        <v>45413</v>
      </c>
      <c r="I466" t="s">
        <v>822</v>
      </c>
      <c r="J466">
        <f t="shared" si="21"/>
        <v>9</v>
      </c>
      <c r="K466" t="str">
        <f t="shared" si="22"/>
        <v>Pending</v>
      </c>
      <c r="L466">
        <f t="shared" ca="1" si="23"/>
        <v>729</v>
      </c>
    </row>
    <row r="467" spans="1:12" x14ac:dyDescent="0.3">
      <c r="A467" t="s">
        <v>474</v>
      </c>
      <c r="B467" t="s">
        <v>809</v>
      </c>
      <c r="C467" s="3">
        <v>45574</v>
      </c>
      <c r="D467" s="3">
        <v>45604</v>
      </c>
      <c r="E467">
        <v>1142.8399999999999</v>
      </c>
      <c r="F467" t="s">
        <v>817</v>
      </c>
      <c r="G467" t="s">
        <v>821</v>
      </c>
      <c r="H467" s="3">
        <v>45604</v>
      </c>
      <c r="I467" t="s">
        <v>822</v>
      </c>
      <c r="J467">
        <f t="shared" si="21"/>
        <v>0</v>
      </c>
      <c r="K467" t="str">
        <f t="shared" si="22"/>
        <v>On-Time</v>
      </c>
      <c r="L467">
        <f t="shared" ca="1" si="23"/>
        <v>529</v>
      </c>
    </row>
    <row r="468" spans="1:12" x14ac:dyDescent="0.3">
      <c r="A468" t="s">
        <v>475</v>
      </c>
      <c r="B468" t="s">
        <v>812</v>
      </c>
      <c r="C468" s="3">
        <v>45414</v>
      </c>
      <c r="D468" s="3">
        <v>45444</v>
      </c>
      <c r="E468">
        <v>3401.72</v>
      </c>
      <c r="F468" t="s">
        <v>816</v>
      </c>
      <c r="G468" t="s">
        <v>819</v>
      </c>
      <c r="H468" s="3">
        <v>45451</v>
      </c>
      <c r="I468" t="s">
        <v>822</v>
      </c>
      <c r="J468">
        <f t="shared" si="21"/>
        <v>7</v>
      </c>
      <c r="K468" t="str">
        <f t="shared" si="22"/>
        <v>Pending</v>
      </c>
      <c r="L468">
        <f t="shared" ca="1" si="23"/>
        <v>689</v>
      </c>
    </row>
    <row r="469" spans="1:12" x14ac:dyDescent="0.3">
      <c r="A469" t="s">
        <v>476</v>
      </c>
      <c r="B469" t="s">
        <v>809</v>
      </c>
      <c r="C469" s="3">
        <v>45076</v>
      </c>
      <c r="D469" s="3">
        <v>45106</v>
      </c>
      <c r="E469">
        <v>4753.22</v>
      </c>
      <c r="F469" t="s">
        <v>816</v>
      </c>
      <c r="G469" t="s">
        <v>820</v>
      </c>
      <c r="H469" s="3">
        <v>45112</v>
      </c>
      <c r="I469" t="s">
        <v>822</v>
      </c>
      <c r="J469">
        <f t="shared" si="21"/>
        <v>6</v>
      </c>
      <c r="K469" t="str">
        <f t="shared" si="22"/>
        <v>Late</v>
      </c>
      <c r="L469">
        <f t="shared" ca="1" si="23"/>
        <v>1027</v>
      </c>
    </row>
    <row r="470" spans="1:12" x14ac:dyDescent="0.3">
      <c r="A470" t="s">
        <v>477</v>
      </c>
      <c r="B470" t="s">
        <v>809</v>
      </c>
      <c r="C470" s="3">
        <v>45789</v>
      </c>
      <c r="D470" s="3">
        <v>45819</v>
      </c>
      <c r="E470">
        <v>3640.83</v>
      </c>
      <c r="F470" t="s">
        <v>816</v>
      </c>
      <c r="G470" t="s">
        <v>820</v>
      </c>
      <c r="H470" s="3">
        <v>45827</v>
      </c>
      <c r="I470" t="s">
        <v>822</v>
      </c>
      <c r="J470">
        <f t="shared" si="21"/>
        <v>8</v>
      </c>
      <c r="K470" t="str">
        <f t="shared" si="22"/>
        <v>Late</v>
      </c>
      <c r="L470">
        <f t="shared" ca="1" si="23"/>
        <v>314</v>
      </c>
    </row>
    <row r="471" spans="1:12" x14ac:dyDescent="0.3">
      <c r="A471" t="s">
        <v>478</v>
      </c>
      <c r="B471" t="s">
        <v>810</v>
      </c>
      <c r="C471" s="3">
        <v>45358</v>
      </c>
      <c r="D471" s="3">
        <v>45388</v>
      </c>
      <c r="E471">
        <v>2662.58</v>
      </c>
      <c r="F471" t="s">
        <v>815</v>
      </c>
      <c r="G471" t="s">
        <v>820</v>
      </c>
      <c r="H471" s="3">
        <v>45386</v>
      </c>
      <c r="I471" t="s">
        <v>822</v>
      </c>
      <c r="J471">
        <f t="shared" si="21"/>
        <v>-2</v>
      </c>
      <c r="K471" t="str">
        <f t="shared" si="22"/>
        <v>On-Time</v>
      </c>
      <c r="L471">
        <f t="shared" ca="1" si="23"/>
        <v>745</v>
      </c>
    </row>
    <row r="472" spans="1:12" x14ac:dyDescent="0.3">
      <c r="A472" t="s">
        <v>479</v>
      </c>
      <c r="B472" t="s">
        <v>809</v>
      </c>
      <c r="C472" s="3">
        <v>45619</v>
      </c>
      <c r="D472" s="3">
        <v>45649</v>
      </c>
      <c r="E472">
        <v>212.92</v>
      </c>
      <c r="F472" t="s">
        <v>814</v>
      </c>
      <c r="G472" t="s">
        <v>819</v>
      </c>
      <c r="H472" s="3">
        <v>45649</v>
      </c>
      <c r="I472" t="s">
        <v>822</v>
      </c>
      <c r="J472">
        <f t="shared" si="21"/>
        <v>0</v>
      </c>
      <c r="K472" t="str">
        <f t="shared" si="22"/>
        <v>Pending</v>
      </c>
      <c r="L472">
        <f t="shared" ca="1" si="23"/>
        <v>484</v>
      </c>
    </row>
    <row r="473" spans="1:12" x14ac:dyDescent="0.3">
      <c r="A473" t="s">
        <v>480</v>
      </c>
      <c r="B473" t="s">
        <v>809</v>
      </c>
      <c r="C473" s="3">
        <v>45254</v>
      </c>
      <c r="D473" s="3">
        <v>45284</v>
      </c>
      <c r="E473">
        <v>980.09</v>
      </c>
      <c r="F473" t="s">
        <v>816</v>
      </c>
      <c r="G473" t="s">
        <v>821</v>
      </c>
      <c r="H473" s="3">
        <v>45284</v>
      </c>
      <c r="I473" t="s">
        <v>822</v>
      </c>
      <c r="J473">
        <f t="shared" si="21"/>
        <v>0</v>
      </c>
      <c r="K473" t="str">
        <f t="shared" si="22"/>
        <v>On-Time</v>
      </c>
      <c r="L473">
        <f t="shared" ca="1" si="23"/>
        <v>849</v>
      </c>
    </row>
    <row r="474" spans="1:12" x14ac:dyDescent="0.3">
      <c r="A474" t="s">
        <v>481</v>
      </c>
      <c r="B474" t="s">
        <v>811</v>
      </c>
      <c r="C474" s="3">
        <v>45262</v>
      </c>
      <c r="D474" s="3">
        <v>45292</v>
      </c>
      <c r="E474">
        <v>1179.8800000000001</v>
      </c>
      <c r="F474" t="s">
        <v>816</v>
      </c>
      <c r="G474" t="s">
        <v>819</v>
      </c>
      <c r="H474" s="3">
        <v>45299</v>
      </c>
      <c r="I474" t="s">
        <v>822</v>
      </c>
      <c r="J474">
        <f t="shared" si="21"/>
        <v>7</v>
      </c>
      <c r="K474" t="str">
        <f t="shared" si="22"/>
        <v>Pending</v>
      </c>
      <c r="L474">
        <f t="shared" ca="1" si="23"/>
        <v>841</v>
      </c>
    </row>
    <row r="475" spans="1:12" x14ac:dyDescent="0.3">
      <c r="A475" t="s">
        <v>482</v>
      </c>
      <c r="B475" t="s">
        <v>810</v>
      </c>
      <c r="C475" s="3">
        <v>45324</v>
      </c>
      <c r="D475" s="3">
        <v>45354</v>
      </c>
      <c r="E475">
        <v>1750.63</v>
      </c>
      <c r="F475" t="s">
        <v>818</v>
      </c>
      <c r="G475" t="s">
        <v>819</v>
      </c>
      <c r="H475" s="3">
        <v>45359</v>
      </c>
      <c r="I475" t="s">
        <v>822</v>
      </c>
      <c r="J475">
        <f t="shared" si="21"/>
        <v>5</v>
      </c>
      <c r="K475" t="str">
        <f t="shared" si="22"/>
        <v>Pending</v>
      </c>
      <c r="L475">
        <f t="shared" ca="1" si="23"/>
        <v>779</v>
      </c>
    </row>
    <row r="476" spans="1:12" x14ac:dyDescent="0.3">
      <c r="A476" t="s">
        <v>483</v>
      </c>
      <c r="B476" t="s">
        <v>810</v>
      </c>
      <c r="C476" s="3">
        <v>45624</v>
      </c>
      <c r="D476" s="3">
        <v>45654</v>
      </c>
      <c r="E476">
        <v>3207.4</v>
      </c>
      <c r="F476" t="s">
        <v>818</v>
      </c>
      <c r="G476" t="s">
        <v>821</v>
      </c>
      <c r="H476" s="3">
        <v>45654</v>
      </c>
      <c r="I476" t="s">
        <v>822</v>
      </c>
      <c r="J476">
        <f t="shared" si="21"/>
        <v>0</v>
      </c>
      <c r="K476" t="str">
        <f t="shared" si="22"/>
        <v>On-Time</v>
      </c>
      <c r="L476">
        <f t="shared" ca="1" si="23"/>
        <v>479</v>
      </c>
    </row>
    <row r="477" spans="1:12" x14ac:dyDescent="0.3">
      <c r="A477" t="s">
        <v>484</v>
      </c>
      <c r="B477" t="s">
        <v>810</v>
      </c>
      <c r="C477" s="3">
        <v>45229</v>
      </c>
      <c r="D477" s="3">
        <v>45259</v>
      </c>
      <c r="E477">
        <v>2412.71</v>
      </c>
      <c r="F477" t="s">
        <v>814</v>
      </c>
      <c r="G477" t="s">
        <v>821</v>
      </c>
      <c r="H477" s="3">
        <v>45259</v>
      </c>
      <c r="I477" t="s">
        <v>822</v>
      </c>
      <c r="J477">
        <f t="shared" si="21"/>
        <v>0</v>
      </c>
      <c r="K477" t="str">
        <f t="shared" si="22"/>
        <v>On-Time</v>
      </c>
      <c r="L477">
        <f t="shared" ca="1" si="23"/>
        <v>874</v>
      </c>
    </row>
    <row r="478" spans="1:12" x14ac:dyDescent="0.3">
      <c r="A478" t="s">
        <v>485</v>
      </c>
      <c r="B478" t="s">
        <v>813</v>
      </c>
      <c r="C478" s="3">
        <v>45235</v>
      </c>
      <c r="D478" s="3">
        <v>45265</v>
      </c>
      <c r="E478">
        <v>382.4</v>
      </c>
      <c r="F478" t="s">
        <v>817</v>
      </c>
      <c r="G478" t="s">
        <v>820</v>
      </c>
      <c r="H478" s="3">
        <v>45267</v>
      </c>
      <c r="I478" t="s">
        <v>822</v>
      </c>
      <c r="J478">
        <f t="shared" si="21"/>
        <v>2</v>
      </c>
      <c r="K478" t="str">
        <f t="shared" si="22"/>
        <v>Late</v>
      </c>
      <c r="L478">
        <f t="shared" ca="1" si="23"/>
        <v>868</v>
      </c>
    </row>
    <row r="479" spans="1:12" x14ac:dyDescent="0.3">
      <c r="A479" t="s">
        <v>486</v>
      </c>
      <c r="B479" t="s">
        <v>811</v>
      </c>
      <c r="C479" s="3">
        <v>45106</v>
      </c>
      <c r="D479" s="3">
        <v>45136</v>
      </c>
      <c r="E479">
        <v>4004.66</v>
      </c>
      <c r="F479" t="s">
        <v>815</v>
      </c>
      <c r="G479" t="s">
        <v>821</v>
      </c>
      <c r="H479" s="3">
        <v>45136</v>
      </c>
      <c r="I479" t="s">
        <v>822</v>
      </c>
      <c r="J479">
        <f t="shared" si="21"/>
        <v>0</v>
      </c>
      <c r="K479" t="str">
        <f t="shared" si="22"/>
        <v>On-Time</v>
      </c>
      <c r="L479">
        <f t="shared" ca="1" si="23"/>
        <v>997</v>
      </c>
    </row>
    <row r="480" spans="1:12" x14ac:dyDescent="0.3">
      <c r="A480" t="s">
        <v>487</v>
      </c>
      <c r="B480" t="s">
        <v>812</v>
      </c>
      <c r="C480" s="3">
        <v>45342</v>
      </c>
      <c r="D480" s="3">
        <v>45372</v>
      </c>
      <c r="E480">
        <v>4777.58</v>
      </c>
      <c r="F480" t="s">
        <v>818</v>
      </c>
      <c r="G480" t="s">
        <v>819</v>
      </c>
      <c r="H480" s="3">
        <v>45378</v>
      </c>
      <c r="I480" t="s">
        <v>822</v>
      </c>
      <c r="J480">
        <f t="shared" si="21"/>
        <v>6</v>
      </c>
      <c r="K480" t="str">
        <f t="shared" si="22"/>
        <v>Pending</v>
      </c>
      <c r="L480">
        <f t="shared" ca="1" si="23"/>
        <v>761</v>
      </c>
    </row>
    <row r="481" spans="1:12" x14ac:dyDescent="0.3">
      <c r="A481" t="s">
        <v>488</v>
      </c>
      <c r="B481" t="s">
        <v>810</v>
      </c>
      <c r="C481" s="3">
        <v>45185</v>
      </c>
      <c r="D481" s="3">
        <v>45215</v>
      </c>
      <c r="E481">
        <v>1599.7</v>
      </c>
      <c r="F481" t="s">
        <v>816</v>
      </c>
      <c r="G481" t="s">
        <v>820</v>
      </c>
      <c r="H481" s="3">
        <v>45224</v>
      </c>
      <c r="I481" t="s">
        <v>822</v>
      </c>
      <c r="J481">
        <f t="shared" si="21"/>
        <v>9</v>
      </c>
      <c r="K481" t="str">
        <f t="shared" si="22"/>
        <v>Late</v>
      </c>
      <c r="L481">
        <f t="shared" ca="1" si="23"/>
        <v>918</v>
      </c>
    </row>
    <row r="482" spans="1:12" x14ac:dyDescent="0.3">
      <c r="A482" t="s">
        <v>489</v>
      </c>
      <c r="B482" t="s">
        <v>810</v>
      </c>
      <c r="C482" s="3">
        <v>45707</v>
      </c>
      <c r="D482" s="3">
        <v>45737</v>
      </c>
      <c r="E482">
        <v>4973.3</v>
      </c>
      <c r="F482" t="s">
        <v>817</v>
      </c>
      <c r="G482" t="s">
        <v>819</v>
      </c>
      <c r="H482" s="3">
        <v>45734</v>
      </c>
      <c r="I482" t="s">
        <v>822</v>
      </c>
      <c r="J482">
        <f t="shared" si="21"/>
        <v>-3</v>
      </c>
      <c r="K482" t="str">
        <f t="shared" si="22"/>
        <v>Pending</v>
      </c>
      <c r="L482">
        <f t="shared" ca="1" si="23"/>
        <v>396</v>
      </c>
    </row>
    <row r="483" spans="1:12" x14ac:dyDescent="0.3">
      <c r="A483" t="s">
        <v>490</v>
      </c>
      <c r="B483" t="s">
        <v>811</v>
      </c>
      <c r="C483" s="3">
        <v>45099</v>
      </c>
      <c r="D483" s="3">
        <v>45129</v>
      </c>
      <c r="E483">
        <v>717.91</v>
      </c>
      <c r="F483" t="s">
        <v>814</v>
      </c>
      <c r="G483" t="s">
        <v>819</v>
      </c>
      <c r="H483" s="3">
        <v>45132</v>
      </c>
      <c r="I483" t="s">
        <v>822</v>
      </c>
      <c r="J483">
        <f t="shared" si="21"/>
        <v>3</v>
      </c>
      <c r="K483" t="str">
        <f t="shared" si="22"/>
        <v>Pending</v>
      </c>
      <c r="L483">
        <f t="shared" ca="1" si="23"/>
        <v>1004</v>
      </c>
    </row>
    <row r="484" spans="1:12" x14ac:dyDescent="0.3">
      <c r="A484" t="s">
        <v>491</v>
      </c>
      <c r="B484" t="s">
        <v>812</v>
      </c>
      <c r="C484" s="3">
        <v>45684</v>
      </c>
      <c r="D484" s="3">
        <v>45714</v>
      </c>
      <c r="E484">
        <v>1388.79</v>
      </c>
      <c r="F484" t="s">
        <v>816</v>
      </c>
      <c r="G484" t="s">
        <v>821</v>
      </c>
      <c r="H484" s="3">
        <v>45714</v>
      </c>
      <c r="I484" t="s">
        <v>822</v>
      </c>
      <c r="J484">
        <f t="shared" si="21"/>
        <v>0</v>
      </c>
      <c r="K484" t="str">
        <f t="shared" si="22"/>
        <v>On-Time</v>
      </c>
      <c r="L484">
        <f t="shared" ca="1" si="23"/>
        <v>419</v>
      </c>
    </row>
    <row r="485" spans="1:12" x14ac:dyDescent="0.3">
      <c r="A485" t="s">
        <v>492</v>
      </c>
      <c r="B485" t="s">
        <v>809</v>
      </c>
      <c r="C485" s="3">
        <v>45823</v>
      </c>
      <c r="D485" s="3">
        <v>45853</v>
      </c>
      <c r="E485">
        <v>669.06</v>
      </c>
      <c r="F485" t="s">
        <v>816</v>
      </c>
      <c r="G485" t="s">
        <v>821</v>
      </c>
      <c r="H485" s="3">
        <v>45853</v>
      </c>
      <c r="I485" t="s">
        <v>822</v>
      </c>
      <c r="J485">
        <f t="shared" si="21"/>
        <v>0</v>
      </c>
      <c r="K485" t="str">
        <f t="shared" si="22"/>
        <v>On-Time</v>
      </c>
      <c r="L485">
        <f t="shared" ca="1" si="23"/>
        <v>280</v>
      </c>
    </row>
    <row r="486" spans="1:12" x14ac:dyDescent="0.3">
      <c r="A486" t="s">
        <v>493</v>
      </c>
      <c r="B486" t="s">
        <v>811</v>
      </c>
      <c r="C486" s="3">
        <v>45192</v>
      </c>
      <c r="D486" s="3">
        <v>45222</v>
      </c>
      <c r="E486">
        <v>158.72</v>
      </c>
      <c r="F486" t="s">
        <v>818</v>
      </c>
      <c r="G486" t="s">
        <v>821</v>
      </c>
      <c r="H486" s="3">
        <v>45222</v>
      </c>
      <c r="I486" t="s">
        <v>822</v>
      </c>
      <c r="J486">
        <f t="shared" si="21"/>
        <v>0</v>
      </c>
      <c r="K486" t="str">
        <f t="shared" si="22"/>
        <v>On-Time</v>
      </c>
      <c r="L486">
        <f t="shared" ca="1" si="23"/>
        <v>911</v>
      </c>
    </row>
    <row r="487" spans="1:12" x14ac:dyDescent="0.3">
      <c r="A487" t="s">
        <v>494</v>
      </c>
      <c r="B487" t="s">
        <v>813</v>
      </c>
      <c r="C487" s="3">
        <v>45346</v>
      </c>
      <c r="D487" s="3">
        <v>45376</v>
      </c>
      <c r="E487">
        <v>502.65</v>
      </c>
      <c r="F487" t="s">
        <v>817</v>
      </c>
      <c r="G487" t="s">
        <v>820</v>
      </c>
      <c r="H487" s="3">
        <v>45382</v>
      </c>
      <c r="I487" t="s">
        <v>822</v>
      </c>
      <c r="J487">
        <f t="shared" si="21"/>
        <v>6</v>
      </c>
      <c r="K487" t="str">
        <f t="shared" si="22"/>
        <v>Late</v>
      </c>
      <c r="L487">
        <f t="shared" ca="1" si="23"/>
        <v>757</v>
      </c>
    </row>
    <row r="488" spans="1:12" x14ac:dyDescent="0.3">
      <c r="A488" t="s">
        <v>495</v>
      </c>
      <c r="B488" t="s">
        <v>812</v>
      </c>
      <c r="C488" s="3">
        <v>44971</v>
      </c>
      <c r="D488" s="3">
        <v>45001</v>
      </c>
      <c r="E488">
        <v>2135.0100000000002</v>
      </c>
      <c r="F488" t="s">
        <v>814</v>
      </c>
      <c r="G488" t="s">
        <v>819</v>
      </c>
      <c r="H488" s="3">
        <v>45006</v>
      </c>
      <c r="I488" t="s">
        <v>822</v>
      </c>
      <c r="J488">
        <f t="shared" si="21"/>
        <v>5</v>
      </c>
      <c r="K488" t="str">
        <f t="shared" si="22"/>
        <v>Pending</v>
      </c>
      <c r="L488">
        <f t="shared" ca="1" si="23"/>
        <v>1132</v>
      </c>
    </row>
    <row r="489" spans="1:12" x14ac:dyDescent="0.3">
      <c r="A489" t="s">
        <v>496</v>
      </c>
      <c r="B489" t="s">
        <v>813</v>
      </c>
      <c r="C489" s="3">
        <v>44937</v>
      </c>
      <c r="D489" s="3">
        <v>44967</v>
      </c>
      <c r="E489">
        <v>386.6</v>
      </c>
      <c r="F489" t="s">
        <v>817</v>
      </c>
      <c r="G489" t="s">
        <v>820</v>
      </c>
      <c r="H489" s="3">
        <v>44970</v>
      </c>
      <c r="I489" t="s">
        <v>822</v>
      </c>
      <c r="J489">
        <f t="shared" si="21"/>
        <v>3</v>
      </c>
      <c r="K489" t="str">
        <f t="shared" si="22"/>
        <v>Late</v>
      </c>
      <c r="L489">
        <f t="shared" ca="1" si="23"/>
        <v>1166</v>
      </c>
    </row>
    <row r="490" spans="1:12" x14ac:dyDescent="0.3">
      <c r="A490" t="s">
        <v>497</v>
      </c>
      <c r="B490" t="s">
        <v>812</v>
      </c>
      <c r="C490" s="3">
        <v>45131</v>
      </c>
      <c r="D490" s="3">
        <v>45161</v>
      </c>
      <c r="E490">
        <v>3185.2</v>
      </c>
      <c r="F490" t="s">
        <v>817</v>
      </c>
      <c r="G490" t="s">
        <v>819</v>
      </c>
      <c r="H490" s="3">
        <v>45168</v>
      </c>
      <c r="I490" t="s">
        <v>822</v>
      </c>
      <c r="J490">
        <f t="shared" si="21"/>
        <v>7</v>
      </c>
      <c r="K490" t="str">
        <f t="shared" si="22"/>
        <v>Pending</v>
      </c>
      <c r="L490">
        <f t="shared" ca="1" si="23"/>
        <v>972</v>
      </c>
    </row>
    <row r="491" spans="1:12" x14ac:dyDescent="0.3">
      <c r="A491" t="s">
        <v>498</v>
      </c>
      <c r="B491" t="s">
        <v>812</v>
      </c>
      <c r="C491" s="3">
        <v>45387</v>
      </c>
      <c r="D491" s="3">
        <v>45417</v>
      </c>
      <c r="E491">
        <v>2817.08</v>
      </c>
      <c r="F491" t="s">
        <v>815</v>
      </c>
      <c r="G491" t="s">
        <v>820</v>
      </c>
      <c r="H491" s="3">
        <v>45419</v>
      </c>
      <c r="I491" t="s">
        <v>822</v>
      </c>
      <c r="J491">
        <f t="shared" si="21"/>
        <v>2</v>
      </c>
      <c r="K491" t="str">
        <f t="shared" si="22"/>
        <v>Late</v>
      </c>
      <c r="L491">
        <f t="shared" ca="1" si="23"/>
        <v>716</v>
      </c>
    </row>
    <row r="492" spans="1:12" x14ac:dyDescent="0.3">
      <c r="A492" t="s">
        <v>499</v>
      </c>
      <c r="B492" t="s">
        <v>813</v>
      </c>
      <c r="C492" s="3">
        <v>44991</v>
      </c>
      <c r="D492" s="3">
        <v>45021</v>
      </c>
      <c r="E492">
        <v>3897.98</v>
      </c>
      <c r="F492" t="s">
        <v>818</v>
      </c>
      <c r="G492" t="s">
        <v>821</v>
      </c>
      <c r="H492" s="3">
        <v>45021</v>
      </c>
      <c r="I492" t="s">
        <v>822</v>
      </c>
      <c r="J492">
        <f t="shared" si="21"/>
        <v>0</v>
      </c>
      <c r="K492" t="str">
        <f t="shared" si="22"/>
        <v>On-Time</v>
      </c>
      <c r="L492">
        <f t="shared" ca="1" si="23"/>
        <v>1112</v>
      </c>
    </row>
    <row r="493" spans="1:12" x14ac:dyDescent="0.3">
      <c r="A493" t="s">
        <v>500</v>
      </c>
      <c r="B493" t="s">
        <v>812</v>
      </c>
      <c r="C493" s="3">
        <v>45631</v>
      </c>
      <c r="D493" s="3">
        <v>45661</v>
      </c>
      <c r="E493">
        <v>3623.95</v>
      </c>
      <c r="F493" t="s">
        <v>817</v>
      </c>
      <c r="G493" t="s">
        <v>820</v>
      </c>
      <c r="H493" s="3">
        <v>45661</v>
      </c>
      <c r="I493" t="s">
        <v>822</v>
      </c>
      <c r="J493">
        <f t="shared" si="21"/>
        <v>0</v>
      </c>
      <c r="K493" t="str">
        <f t="shared" si="22"/>
        <v>On-Time</v>
      </c>
      <c r="L493">
        <f t="shared" ca="1" si="23"/>
        <v>472</v>
      </c>
    </row>
    <row r="494" spans="1:12" x14ac:dyDescent="0.3">
      <c r="A494" t="s">
        <v>501</v>
      </c>
      <c r="B494" t="s">
        <v>811</v>
      </c>
      <c r="C494" s="3">
        <v>45433</v>
      </c>
      <c r="D494" s="3">
        <v>45463</v>
      </c>
      <c r="E494">
        <v>1803.9</v>
      </c>
      <c r="F494" t="s">
        <v>817</v>
      </c>
      <c r="G494" t="s">
        <v>820</v>
      </c>
      <c r="H494" s="3">
        <v>45472</v>
      </c>
      <c r="I494" t="s">
        <v>822</v>
      </c>
      <c r="J494">
        <f t="shared" si="21"/>
        <v>9</v>
      </c>
      <c r="K494" t="str">
        <f t="shared" si="22"/>
        <v>Late</v>
      </c>
      <c r="L494">
        <f t="shared" ca="1" si="23"/>
        <v>670</v>
      </c>
    </row>
    <row r="495" spans="1:12" x14ac:dyDescent="0.3">
      <c r="A495" t="s">
        <v>502</v>
      </c>
      <c r="B495" t="s">
        <v>809</v>
      </c>
      <c r="C495" s="3">
        <v>45106</v>
      </c>
      <c r="D495" s="3">
        <v>45136</v>
      </c>
      <c r="E495">
        <v>2543.84</v>
      </c>
      <c r="F495" t="s">
        <v>817</v>
      </c>
      <c r="G495" t="s">
        <v>820</v>
      </c>
      <c r="H495" s="3">
        <v>45146</v>
      </c>
      <c r="I495" t="s">
        <v>822</v>
      </c>
      <c r="J495">
        <f t="shared" si="21"/>
        <v>10</v>
      </c>
      <c r="K495" t="str">
        <f t="shared" si="22"/>
        <v>Late</v>
      </c>
      <c r="L495">
        <f t="shared" ca="1" si="23"/>
        <v>997</v>
      </c>
    </row>
    <row r="496" spans="1:12" x14ac:dyDescent="0.3">
      <c r="A496" t="s">
        <v>503</v>
      </c>
      <c r="B496" t="s">
        <v>813</v>
      </c>
      <c r="C496" s="3">
        <v>45128</v>
      </c>
      <c r="D496" s="3">
        <v>45158</v>
      </c>
      <c r="E496">
        <v>292.57</v>
      </c>
      <c r="F496" t="s">
        <v>815</v>
      </c>
      <c r="G496" t="s">
        <v>819</v>
      </c>
      <c r="H496" s="3">
        <v>45165</v>
      </c>
      <c r="I496" t="s">
        <v>822</v>
      </c>
      <c r="J496">
        <f t="shared" si="21"/>
        <v>7</v>
      </c>
      <c r="K496" t="str">
        <f t="shared" si="22"/>
        <v>Pending</v>
      </c>
      <c r="L496">
        <f t="shared" ca="1" si="23"/>
        <v>975</v>
      </c>
    </row>
    <row r="497" spans="1:12" x14ac:dyDescent="0.3">
      <c r="A497" t="s">
        <v>504</v>
      </c>
      <c r="B497" t="s">
        <v>811</v>
      </c>
      <c r="C497" s="3">
        <v>45522</v>
      </c>
      <c r="D497" s="3">
        <v>45552</v>
      </c>
      <c r="E497">
        <v>688.61</v>
      </c>
      <c r="F497" t="s">
        <v>817</v>
      </c>
      <c r="G497" t="s">
        <v>821</v>
      </c>
      <c r="H497" s="3">
        <v>45552</v>
      </c>
      <c r="I497" t="s">
        <v>822</v>
      </c>
      <c r="J497">
        <f t="shared" si="21"/>
        <v>0</v>
      </c>
      <c r="K497" t="str">
        <f t="shared" si="22"/>
        <v>On-Time</v>
      </c>
      <c r="L497">
        <f t="shared" ca="1" si="23"/>
        <v>581</v>
      </c>
    </row>
    <row r="498" spans="1:12" x14ac:dyDescent="0.3">
      <c r="A498" t="s">
        <v>505</v>
      </c>
      <c r="B498" t="s">
        <v>812</v>
      </c>
      <c r="C498" s="3">
        <v>45288</v>
      </c>
      <c r="D498" s="3">
        <v>45318</v>
      </c>
      <c r="E498">
        <v>1121.18</v>
      </c>
      <c r="F498" t="s">
        <v>817</v>
      </c>
      <c r="G498" t="s">
        <v>820</v>
      </c>
      <c r="H498" s="3">
        <v>45322</v>
      </c>
      <c r="I498" t="s">
        <v>822</v>
      </c>
      <c r="J498">
        <f t="shared" si="21"/>
        <v>4</v>
      </c>
      <c r="K498" t="str">
        <f t="shared" si="22"/>
        <v>Late</v>
      </c>
      <c r="L498">
        <f t="shared" ca="1" si="23"/>
        <v>815</v>
      </c>
    </row>
    <row r="499" spans="1:12" x14ac:dyDescent="0.3">
      <c r="A499" t="s">
        <v>506</v>
      </c>
      <c r="B499" t="s">
        <v>810</v>
      </c>
      <c r="C499" s="3">
        <v>45395</v>
      </c>
      <c r="D499" s="3">
        <v>45425</v>
      </c>
      <c r="E499">
        <v>3953.98</v>
      </c>
      <c r="F499" t="s">
        <v>814</v>
      </c>
      <c r="G499" t="s">
        <v>820</v>
      </c>
      <c r="H499" s="3">
        <v>45424</v>
      </c>
      <c r="I499" t="s">
        <v>822</v>
      </c>
      <c r="J499">
        <f t="shared" si="21"/>
        <v>-1</v>
      </c>
      <c r="K499" t="str">
        <f t="shared" si="22"/>
        <v>On-Time</v>
      </c>
      <c r="L499">
        <f t="shared" ca="1" si="23"/>
        <v>708</v>
      </c>
    </row>
    <row r="500" spans="1:12" x14ac:dyDescent="0.3">
      <c r="A500" t="s">
        <v>507</v>
      </c>
      <c r="B500" t="s">
        <v>811</v>
      </c>
      <c r="C500" s="3">
        <v>45327</v>
      </c>
      <c r="D500" s="3">
        <v>45357</v>
      </c>
      <c r="E500">
        <v>597.75</v>
      </c>
      <c r="F500" t="s">
        <v>817</v>
      </c>
      <c r="G500" t="s">
        <v>819</v>
      </c>
      <c r="H500" s="3">
        <v>45354</v>
      </c>
      <c r="I500" t="s">
        <v>822</v>
      </c>
      <c r="J500">
        <f t="shared" si="21"/>
        <v>-3</v>
      </c>
      <c r="K500" t="str">
        <f t="shared" si="22"/>
        <v>Pending</v>
      </c>
      <c r="L500">
        <f t="shared" ca="1" si="23"/>
        <v>776</v>
      </c>
    </row>
    <row r="501" spans="1:12" x14ac:dyDescent="0.3">
      <c r="A501" t="s">
        <v>508</v>
      </c>
      <c r="B501" t="s">
        <v>809</v>
      </c>
      <c r="C501" s="3">
        <v>45680</v>
      </c>
      <c r="D501" s="3">
        <v>45710</v>
      </c>
      <c r="E501">
        <v>1752.55</v>
      </c>
      <c r="F501" t="s">
        <v>817</v>
      </c>
      <c r="G501" t="s">
        <v>819</v>
      </c>
      <c r="H501" s="3">
        <v>45715</v>
      </c>
      <c r="I501" t="s">
        <v>822</v>
      </c>
      <c r="J501">
        <f t="shared" si="21"/>
        <v>5</v>
      </c>
      <c r="K501" t="str">
        <f t="shared" si="22"/>
        <v>Pending</v>
      </c>
      <c r="L501">
        <f t="shared" ca="1" si="23"/>
        <v>423</v>
      </c>
    </row>
    <row r="502" spans="1:12" x14ac:dyDescent="0.3">
      <c r="A502" t="s">
        <v>509</v>
      </c>
      <c r="B502" t="s">
        <v>811</v>
      </c>
      <c r="C502" s="3">
        <v>44998</v>
      </c>
      <c r="D502" s="3">
        <v>45028</v>
      </c>
      <c r="E502">
        <v>3490.73</v>
      </c>
      <c r="F502" t="s">
        <v>814</v>
      </c>
      <c r="G502" t="s">
        <v>819</v>
      </c>
      <c r="H502" s="3">
        <v>45032</v>
      </c>
      <c r="I502" t="s">
        <v>822</v>
      </c>
      <c r="J502">
        <f t="shared" si="21"/>
        <v>4</v>
      </c>
      <c r="K502" t="str">
        <f t="shared" si="22"/>
        <v>Pending</v>
      </c>
      <c r="L502">
        <f t="shared" ca="1" si="23"/>
        <v>1105</v>
      </c>
    </row>
    <row r="503" spans="1:12" x14ac:dyDescent="0.3">
      <c r="A503" t="s">
        <v>510</v>
      </c>
      <c r="B503" t="s">
        <v>809</v>
      </c>
      <c r="C503" s="3">
        <v>45584</v>
      </c>
      <c r="D503" s="3">
        <v>45614</v>
      </c>
      <c r="E503">
        <v>1143.7</v>
      </c>
      <c r="F503" t="s">
        <v>818</v>
      </c>
      <c r="G503" t="s">
        <v>820</v>
      </c>
      <c r="H503" s="3">
        <v>45624</v>
      </c>
      <c r="I503" t="s">
        <v>822</v>
      </c>
      <c r="J503">
        <f t="shared" si="21"/>
        <v>10</v>
      </c>
      <c r="K503" t="str">
        <f t="shared" si="22"/>
        <v>Late</v>
      </c>
      <c r="L503">
        <f t="shared" ca="1" si="23"/>
        <v>519</v>
      </c>
    </row>
    <row r="504" spans="1:12" x14ac:dyDescent="0.3">
      <c r="A504" t="s">
        <v>511</v>
      </c>
      <c r="B504" t="s">
        <v>813</v>
      </c>
      <c r="C504" s="3">
        <v>45555</v>
      </c>
      <c r="D504" s="3">
        <v>45585</v>
      </c>
      <c r="E504">
        <v>636.6</v>
      </c>
      <c r="F504" t="s">
        <v>814</v>
      </c>
      <c r="G504" t="s">
        <v>821</v>
      </c>
      <c r="H504" s="3">
        <v>45585</v>
      </c>
      <c r="I504" t="s">
        <v>822</v>
      </c>
      <c r="J504">
        <f t="shared" si="21"/>
        <v>0</v>
      </c>
      <c r="K504" t="str">
        <f t="shared" si="22"/>
        <v>On-Time</v>
      </c>
      <c r="L504">
        <f t="shared" ca="1" si="23"/>
        <v>548</v>
      </c>
    </row>
    <row r="505" spans="1:12" x14ac:dyDescent="0.3">
      <c r="A505" t="s">
        <v>512</v>
      </c>
      <c r="B505" t="s">
        <v>810</v>
      </c>
      <c r="C505" s="3">
        <v>45761</v>
      </c>
      <c r="D505" s="3">
        <v>45791</v>
      </c>
      <c r="E505">
        <v>3339.54</v>
      </c>
      <c r="F505" t="s">
        <v>814</v>
      </c>
      <c r="G505" t="s">
        <v>819</v>
      </c>
      <c r="H505" s="3">
        <v>45794</v>
      </c>
      <c r="I505" t="s">
        <v>822</v>
      </c>
      <c r="J505">
        <f t="shared" si="21"/>
        <v>3</v>
      </c>
      <c r="K505" t="str">
        <f t="shared" si="22"/>
        <v>Pending</v>
      </c>
      <c r="L505">
        <f t="shared" ca="1" si="23"/>
        <v>342</v>
      </c>
    </row>
    <row r="506" spans="1:12" x14ac:dyDescent="0.3">
      <c r="A506" t="s">
        <v>513</v>
      </c>
      <c r="B506" t="s">
        <v>809</v>
      </c>
      <c r="C506" s="3">
        <v>45641</v>
      </c>
      <c r="D506" s="3">
        <v>45671</v>
      </c>
      <c r="E506">
        <v>3555.72</v>
      </c>
      <c r="F506" t="s">
        <v>814</v>
      </c>
      <c r="G506" t="s">
        <v>820</v>
      </c>
      <c r="H506" s="3">
        <v>45672</v>
      </c>
      <c r="I506" t="s">
        <v>822</v>
      </c>
      <c r="J506">
        <f t="shared" si="21"/>
        <v>1</v>
      </c>
      <c r="K506" t="str">
        <f t="shared" si="22"/>
        <v>Late</v>
      </c>
      <c r="L506">
        <f t="shared" ca="1" si="23"/>
        <v>462</v>
      </c>
    </row>
    <row r="507" spans="1:12" x14ac:dyDescent="0.3">
      <c r="A507" t="s">
        <v>514</v>
      </c>
      <c r="B507" t="s">
        <v>811</v>
      </c>
      <c r="C507" s="3">
        <v>45777</v>
      </c>
      <c r="D507" s="3">
        <v>45807</v>
      </c>
      <c r="E507">
        <v>2971.5</v>
      </c>
      <c r="F507" t="s">
        <v>817</v>
      </c>
      <c r="G507" t="s">
        <v>819</v>
      </c>
      <c r="H507" s="3">
        <v>45805</v>
      </c>
      <c r="I507" t="s">
        <v>822</v>
      </c>
      <c r="J507">
        <f t="shared" si="21"/>
        <v>-2</v>
      </c>
      <c r="K507" t="str">
        <f t="shared" si="22"/>
        <v>Pending</v>
      </c>
      <c r="L507">
        <f t="shared" ca="1" si="23"/>
        <v>326</v>
      </c>
    </row>
    <row r="508" spans="1:12" x14ac:dyDescent="0.3">
      <c r="A508" t="s">
        <v>515</v>
      </c>
      <c r="B508" t="s">
        <v>809</v>
      </c>
      <c r="C508" s="3">
        <v>45786</v>
      </c>
      <c r="D508" s="3">
        <v>45816</v>
      </c>
      <c r="E508">
        <v>2945.39</v>
      </c>
      <c r="F508" t="s">
        <v>818</v>
      </c>
      <c r="G508" t="s">
        <v>821</v>
      </c>
      <c r="H508" s="3">
        <v>45816</v>
      </c>
      <c r="I508" t="s">
        <v>822</v>
      </c>
      <c r="J508">
        <f t="shared" si="21"/>
        <v>0</v>
      </c>
      <c r="K508" t="str">
        <f t="shared" si="22"/>
        <v>On-Time</v>
      </c>
      <c r="L508">
        <f t="shared" ca="1" si="23"/>
        <v>317</v>
      </c>
    </row>
    <row r="509" spans="1:12" x14ac:dyDescent="0.3">
      <c r="A509" t="s">
        <v>516</v>
      </c>
      <c r="B509" t="s">
        <v>811</v>
      </c>
      <c r="C509" s="3">
        <v>45472</v>
      </c>
      <c r="D509" s="3">
        <v>45502</v>
      </c>
      <c r="E509">
        <v>4563.8</v>
      </c>
      <c r="F509" t="s">
        <v>816</v>
      </c>
      <c r="G509" t="s">
        <v>821</v>
      </c>
      <c r="H509" s="3">
        <v>45502</v>
      </c>
      <c r="I509" t="s">
        <v>822</v>
      </c>
      <c r="J509">
        <f t="shared" si="21"/>
        <v>0</v>
      </c>
      <c r="K509" t="str">
        <f t="shared" si="22"/>
        <v>On-Time</v>
      </c>
      <c r="L509">
        <f t="shared" ca="1" si="23"/>
        <v>631</v>
      </c>
    </row>
    <row r="510" spans="1:12" x14ac:dyDescent="0.3">
      <c r="A510" t="s">
        <v>517</v>
      </c>
      <c r="B510" t="s">
        <v>811</v>
      </c>
      <c r="C510" s="3">
        <v>45002</v>
      </c>
      <c r="D510" s="3">
        <v>45032</v>
      </c>
      <c r="E510">
        <v>3590.5</v>
      </c>
      <c r="F510" t="s">
        <v>818</v>
      </c>
      <c r="G510" t="s">
        <v>819</v>
      </c>
      <c r="H510" s="3">
        <v>45042</v>
      </c>
      <c r="I510" t="s">
        <v>822</v>
      </c>
      <c r="J510">
        <f t="shared" si="21"/>
        <v>10</v>
      </c>
      <c r="K510" t="str">
        <f t="shared" si="22"/>
        <v>Pending</v>
      </c>
      <c r="L510">
        <f t="shared" ca="1" si="23"/>
        <v>1101</v>
      </c>
    </row>
    <row r="511" spans="1:12" x14ac:dyDescent="0.3">
      <c r="A511" t="s">
        <v>518</v>
      </c>
      <c r="B511" t="s">
        <v>811</v>
      </c>
      <c r="C511" s="3">
        <v>44948</v>
      </c>
      <c r="D511" s="3">
        <v>44978</v>
      </c>
      <c r="E511">
        <v>1989.22</v>
      </c>
      <c r="F511" t="s">
        <v>814</v>
      </c>
      <c r="G511" t="s">
        <v>820</v>
      </c>
      <c r="H511" s="3">
        <v>44978</v>
      </c>
      <c r="I511" t="s">
        <v>822</v>
      </c>
      <c r="J511">
        <f t="shared" si="21"/>
        <v>0</v>
      </c>
      <c r="K511" t="str">
        <f t="shared" si="22"/>
        <v>On-Time</v>
      </c>
      <c r="L511">
        <f t="shared" ca="1" si="23"/>
        <v>1155</v>
      </c>
    </row>
    <row r="512" spans="1:12" x14ac:dyDescent="0.3">
      <c r="A512" t="s">
        <v>519</v>
      </c>
      <c r="B512" t="s">
        <v>809</v>
      </c>
      <c r="C512" s="3">
        <v>44930</v>
      </c>
      <c r="D512" s="3">
        <v>44960</v>
      </c>
      <c r="E512">
        <v>4650.78</v>
      </c>
      <c r="F512" t="s">
        <v>815</v>
      </c>
      <c r="G512" t="s">
        <v>819</v>
      </c>
      <c r="H512" s="3">
        <v>44958</v>
      </c>
      <c r="I512" t="s">
        <v>822</v>
      </c>
      <c r="J512">
        <f t="shared" si="21"/>
        <v>-2</v>
      </c>
      <c r="K512" t="str">
        <f t="shared" si="22"/>
        <v>Pending</v>
      </c>
      <c r="L512">
        <f t="shared" ca="1" si="23"/>
        <v>1173</v>
      </c>
    </row>
    <row r="513" spans="1:12" x14ac:dyDescent="0.3">
      <c r="A513" t="s">
        <v>520</v>
      </c>
      <c r="B513" t="s">
        <v>813</v>
      </c>
      <c r="C513" s="3">
        <v>45118</v>
      </c>
      <c r="D513" s="3">
        <v>45148</v>
      </c>
      <c r="E513">
        <v>3071.51</v>
      </c>
      <c r="F513" t="s">
        <v>815</v>
      </c>
      <c r="G513" t="s">
        <v>820</v>
      </c>
      <c r="H513" s="3">
        <v>45156</v>
      </c>
      <c r="I513" t="s">
        <v>822</v>
      </c>
      <c r="J513">
        <f t="shared" si="21"/>
        <v>8</v>
      </c>
      <c r="K513" t="str">
        <f t="shared" si="22"/>
        <v>Late</v>
      </c>
      <c r="L513">
        <f t="shared" ca="1" si="23"/>
        <v>985</v>
      </c>
    </row>
    <row r="514" spans="1:12" x14ac:dyDescent="0.3">
      <c r="A514" t="s">
        <v>521</v>
      </c>
      <c r="B514" t="s">
        <v>811</v>
      </c>
      <c r="C514" s="3">
        <v>45196</v>
      </c>
      <c r="D514" s="3">
        <v>45226</v>
      </c>
      <c r="E514">
        <v>4956.1099999999997</v>
      </c>
      <c r="F514" t="s">
        <v>816</v>
      </c>
      <c r="G514" t="s">
        <v>819</v>
      </c>
      <c r="H514" s="3">
        <v>45224</v>
      </c>
      <c r="I514" t="s">
        <v>822</v>
      </c>
      <c r="J514">
        <f t="shared" si="21"/>
        <v>-2</v>
      </c>
      <c r="K514" t="str">
        <f t="shared" si="22"/>
        <v>Pending</v>
      </c>
      <c r="L514">
        <f t="shared" ca="1" si="23"/>
        <v>907</v>
      </c>
    </row>
    <row r="515" spans="1:12" x14ac:dyDescent="0.3">
      <c r="A515" t="s">
        <v>522</v>
      </c>
      <c r="B515" t="s">
        <v>809</v>
      </c>
      <c r="C515" s="3">
        <v>45446</v>
      </c>
      <c r="D515" s="3">
        <v>45476</v>
      </c>
      <c r="E515">
        <v>2561.35</v>
      </c>
      <c r="F515" t="s">
        <v>818</v>
      </c>
      <c r="G515" t="s">
        <v>819</v>
      </c>
      <c r="H515" s="3">
        <v>45482</v>
      </c>
      <c r="I515" t="s">
        <v>822</v>
      </c>
      <c r="J515">
        <f t="shared" ref="J515:J578" si="24">IF(H515="",0,H515-D515)</f>
        <v>6</v>
      </c>
      <c r="K515" t="str">
        <f t="shared" ref="K515:K578" si="25">IF(G515="Open","Pending",IF(H515&lt;=D515,"On-Time","Late"))</f>
        <v>Pending</v>
      </c>
      <c r="L515">
        <f t="shared" ref="L515:L578" ca="1" si="26">TODAY()-C515</f>
        <v>657</v>
      </c>
    </row>
    <row r="516" spans="1:12" x14ac:dyDescent="0.3">
      <c r="A516" t="s">
        <v>523</v>
      </c>
      <c r="B516" t="s">
        <v>811</v>
      </c>
      <c r="C516" s="3">
        <v>45637</v>
      </c>
      <c r="D516" s="3">
        <v>45667</v>
      </c>
      <c r="E516">
        <v>3812.86</v>
      </c>
      <c r="F516" t="s">
        <v>816</v>
      </c>
      <c r="G516" t="s">
        <v>819</v>
      </c>
      <c r="H516" s="3">
        <v>45674</v>
      </c>
      <c r="I516" t="s">
        <v>822</v>
      </c>
      <c r="J516">
        <f t="shared" si="24"/>
        <v>7</v>
      </c>
      <c r="K516" t="str">
        <f t="shared" si="25"/>
        <v>Pending</v>
      </c>
      <c r="L516">
        <f t="shared" ca="1" si="26"/>
        <v>466</v>
      </c>
    </row>
    <row r="517" spans="1:12" x14ac:dyDescent="0.3">
      <c r="A517" t="s">
        <v>524</v>
      </c>
      <c r="B517" t="s">
        <v>810</v>
      </c>
      <c r="C517" s="3">
        <v>45291</v>
      </c>
      <c r="D517" s="3">
        <v>45321</v>
      </c>
      <c r="E517">
        <v>4798.3</v>
      </c>
      <c r="F517" t="s">
        <v>815</v>
      </c>
      <c r="G517" t="s">
        <v>819</v>
      </c>
      <c r="H517" s="3">
        <v>45318</v>
      </c>
      <c r="I517" t="s">
        <v>822</v>
      </c>
      <c r="J517">
        <f t="shared" si="24"/>
        <v>-3</v>
      </c>
      <c r="K517" t="str">
        <f t="shared" si="25"/>
        <v>Pending</v>
      </c>
      <c r="L517">
        <f t="shared" ca="1" si="26"/>
        <v>812</v>
      </c>
    </row>
    <row r="518" spans="1:12" x14ac:dyDescent="0.3">
      <c r="A518" t="s">
        <v>525</v>
      </c>
      <c r="B518" t="s">
        <v>810</v>
      </c>
      <c r="C518" s="3">
        <v>45538</v>
      </c>
      <c r="D518" s="3">
        <v>45568</v>
      </c>
      <c r="E518">
        <v>2626.26</v>
      </c>
      <c r="F518" t="s">
        <v>815</v>
      </c>
      <c r="G518" t="s">
        <v>819</v>
      </c>
      <c r="H518" s="3">
        <v>45569</v>
      </c>
      <c r="I518" t="s">
        <v>822</v>
      </c>
      <c r="J518">
        <f t="shared" si="24"/>
        <v>1</v>
      </c>
      <c r="K518" t="str">
        <f t="shared" si="25"/>
        <v>Pending</v>
      </c>
      <c r="L518">
        <f t="shared" ca="1" si="26"/>
        <v>565</v>
      </c>
    </row>
    <row r="519" spans="1:12" x14ac:dyDescent="0.3">
      <c r="A519" t="s">
        <v>526</v>
      </c>
      <c r="B519" t="s">
        <v>813</v>
      </c>
      <c r="C519" s="3">
        <v>45173</v>
      </c>
      <c r="D519" s="3">
        <v>45203</v>
      </c>
      <c r="E519">
        <v>1667.91</v>
      </c>
      <c r="F519" t="s">
        <v>815</v>
      </c>
      <c r="G519" t="s">
        <v>819</v>
      </c>
      <c r="H519" s="3">
        <v>45208</v>
      </c>
      <c r="I519" t="s">
        <v>822</v>
      </c>
      <c r="J519">
        <f t="shared" si="24"/>
        <v>5</v>
      </c>
      <c r="K519" t="str">
        <f t="shared" si="25"/>
        <v>Pending</v>
      </c>
      <c r="L519">
        <f t="shared" ca="1" si="26"/>
        <v>930</v>
      </c>
    </row>
    <row r="520" spans="1:12" x14ac:dyDescent="0.3">
      <c r="A520" t="s">
        <v>527</v>
      </c>
      <c r="B520" t="s">
        <v>809</v>
      </c>
      <c r="C520" s="3">
        <v>45825</v>
      </c>
      <c r="D520" s="3">
        <v>45855</v>
      </c>
      <c r="E520">
        <v>556.64</v>
      </c>
      <c r="F520" t="s">
        <v>817</v>
      </c>
      <c r="G520" t="s">
        <v>820</v>
      </c>
      <c r="H520" s="3">
        <v>45861</v>
      </c>
      <c r="I520" t="s">
        <v>822</v>
      </c>
      <c r="J520">
        <f t="shared" si="24"/>
        <v>6</v>
      </c>
      <c r="K520" t="str">
        <f t="shared" si="25"/>
        <v>Late</v>
      </c>
      <c r="L520">
        <f t="shared" ca="1" si="26"/>
        <v>278</v>
      </c>
    </row>
    <row r="521" spans="1:12" x14ac:dyDescent="0.3">
      <c r="A521" t="s">
        <v>528</v>
      </c>
      <c r="B521" t="s">
        <v>812</v>
      </c>
      <c r="C521" s="3">
        <v>45671</v>
      </c>
      <c r="D521" s="3">
        <v>45701</v>
      </c>
      <c r="E521">
        <v>2084.02</v>
      </c>
      <c r="F521" t="s">
        <v>814</v>
      </c>
      <c r="G521" t="s">
        <v>820</v>
      </c>
      <c r="H521" s="3">
        <v>45703</v>
      </c>
      <c r="I521" t="s">
        <v>822</v>
      </c>
      <c r="J521">
        <f t="shared" si="24"/>
        <v>2</v>
      </c>
      <c r="K521" t="str">
        <f t="shared" si="25"/>
        <v>Late</v>
      </c>
      <c r="L521">
        <f t="shared" ca="1" si="26"/>
        <v>432</v>
      </c>
    </row>
    <row r="522" spans="1:12" x14ac:dyDescent="0.3">
      <c r="A522" t="s">
        <v>529</v>
      </c>
      <c r="B522" t="s">
        <v>813</v>
      </c>
      <c r="C522" s="3">
        <v>45348</v>
      </c>
      <c r="D522" s="3">
        <v>45378</v>
      </c>
      <c r="E522">
        <v>1225.05</v>
      </c>
      <c r="F522" t="s">
        <v>816</v>
      </c>
      <c r="G522" t="s">
        <v>820</v>
      </c>
      <c r="H522" s="3">
        <v>45379</v>
      </c>
      <c r="I522" t="s">
        <v>822</v>
      </c>
      <c r="J522">
        <f t="shared" si="24"/>
        <v>1</v>
      </c>
      <c r="K522" t="str">
        <f t="shared" si="25"/>
        <v>Late</v>
      </c>
      <c r="L522">
        <f t="shared" ca="1" si="26"/>
        <v>755</v>
      </c>
    </row>
    <row r="523" spans="1:12" x14ac:dyDescent="0.3">
      <c r="A523" t="s">
        <v>530</v>
      </c>
      <c r="B523" t="s">
        <v>810</v>
      </c>
      <c r="C523" s="3">
        <v>44937</v>
      </c>
      <c r="D523" s="3">
        <v>44967</v>
      </c>
      <c r="E523">
        <v>1607.66</v>
      </c>
      <c r="F523" t="s">
        <v>818</v>
      </c>
      <c r="G523" t="s">
        <v>820</v>
      </c>
      <c r="H523" s="3">
        <v>44972</v>
      </c>
      <c r="I523" t="s">
        <v>822</v>
      </c>
      <c r="J523">
        <f t="shared" si="24"/>
        <v>5</v>
      </c>
      <c r="K523" t="str">
        <f t="shared" si="25"/>
        <v>Late</v>
      </c>
      <c r="L523">
        <f t="shared" ca="1" si="26"/>
        <v>1166</v>
      </c>
    </row>
    <row r="524" spans="1:12" x14ac:dyDescent="0.3">
      <c r="A524" t="s">
        <v>531</v>
      </c>
      <c r="B524" t="s">
        <v>809</v>
      </c>
      <c r="C524" s="3">
        <v>45452</v>
      </c>
      <c r="D524" s="3">
        <v>45482</v>
      </c>
      <c r="E524">
        <v>2772.97</v>
      </c>
      <c r="F524" t="s">
        <v>816</v>
      </c>
      <c r="G524" t="s">
        <v>821</v>
      </c>
      <c r="H524" s="3">
        <v>45482</v>
      </c>
      <c r="I524" t="s">
        <v>822</v>
      </c>
      <c r="J524">
        <f t="shared" si="24"/>
        <v>0</v>
      </c>
      <c r="K524" t="str">
        <f t="shared" si="25"/>
        <v>On-Time</v>
      </c>
      <c r="L524">
        <f t="shared" ca="1" si="26"/>
        <v>651</v>
      </c>
    </row>
    <row r="525" spans="1:12" x14ac:dyDescent="0.3">
      <c r="A525" t="s">
        <v>532</v>
      </c>
      <c r="B525" t="s">
        <v>812</v>
      </c>
      <c r="C525" s="3">
        <v>45596</v>
      </c>
      <c r="D525" s="3">
        <v>45626</v>
      </c>
      <c r="E525">
        <v>1641.38</v>
      </c>
      <c r="F525" t="s">
        <v>818</v>
      </c>
      <c r="G525" t="s">
        <v>820</v>
      </c>
      <c r="H525" s="3">
        <v>45624</v>
      </c>
      <c r="I525" t="s">
        <v>822</v>
      </c>
      <c r="J525">
        <f t="shared" si="24"/>
        <v>-2</v>
      </c>
      <c r="K525" t="str">
        <f t="shared" si="25"/>
        <v>On-Time</v>
      </c>
      <c r="L525">
        <f t="shared" ca="1" si="26"/>
        <v>507</v>
      </c>
    </row>
    <row r="526" spans="1:12" x14ac:dyDescent="0.3">
      <c r="A526" t="s">
        <v>533</v>
      </c>
      <c r="B526" t="s">
        <v>811</v>
      </c>
      <c r="C526" s="3">
        <v>45539</v>
      </c>
      <c r="D526" s="3">
        <v>45569</v>
      </c>
      <c r="E526">
        <v>549.14</v>
      </c>
      <c r="F526" t="s">
        <v>818</v>
      </c>
      <c r="G526" t="s">
        <v>821</v>
      </c>
      <c r="H526" s="3">
        <v>45569</v>
      </c>
      <c r="I526" t="s">
        <v>822</v>
      </c>
      <c r="J526">
        <f t="shared" si="24"/>
        <v>0</v>
      </c>
      <c r="K526" t="str">
        <f t="shared" si="25"/>
        <v>On-Time</v>
      </c>
      <c r="L526">
        <f t="shared" ca="1" si="26"/>
        <v>564</v>
      </c>
    </row>
    <row r="527" spans="1:12" x14ac:dyDescent="0.3">
      <c r="A527" t="s">
        <v>534</v>
      </c>
      <c r="B527" t="s">
        <v>813</v>
      </c>
      <c r="C527" s="3">
        <v>45558</v>
      </c>
      <c r="D527" s="3">
        <v>45588</v>
      </c>
      <c r="E527">
        <v>3700.73</v>
      </c>
      <c r="F527" t="s">
        <v>816</v>
      </c>
      <c r="G527" t="s">
        <v>819</v>
      </c>
      <c r="H527" s="3">
        <v>45593</v>
      </c>
      <c r="I527" t="s">
        <v>822</v>
      </c>
      <c r="J527">
        <f t="shared" si="24"/>
        <v>5</v>
      </c>
      <c r="K527" t="str">
        <f t="shared" si="25"/>
        <v>Pending</v>
      </c>
      <c r="L527">
        <f t="shared" ca="1" si="26"/>
        <v>545</v>
      </c>
    </row>
    <row r="528" spans="1:12" x14ac:dyDescent="0.3">
      <c r="A528" t="s">
        <v>535</v>
      </c>
      <c r="B528" t="s">
        <v>813</v>
      </c>
      <c r="C528" s="3">
        <v>45315</v>
      </c>
      <c r="D528" s="3">
        <v>45345</v>
      </c>
      <c r="E528">
        <v>1616.2</v>
      </c>
      <c r="F528" t="s">
        <v>815</v>
      </c>
      <c r="G528" t="s">
        <v>820</v>
      </c>
      <c r="H528" s="3">
        <v>45354</v>
      </c>
      <c r="I528" t="s">
        <v>822</v>
      </c>
      <c r="J528">
        <f t="shared" si="24"/>
        <v>9</v>
      </c>
      <c r="K528" t="str">
        <f t="shared" si="25"/>
        <v>Late</v>
      </c>
      <c r="L528">
        <f t="shared" ca="1" si="26"/>
        <v>788</v>
      </c>
    </row>
    <row r="529" spans="1:12" x14ac:dyDescent="0.3">
      <c r="A529" t="s">
        <v>536</v>
      </c>
      <c r="B529" t="s">
        <v>809</v>
      </c>
      <c r="C529" s="3">
        <v>45718</v>
      </c>
      <c r="D529" s="3">
        <v>45748</v>
      </c>
      <c r="E529">
        <v>233.75</v>
      </c>
      <c r="F529" t="s">
        <v>814</v>
      </c>
      <c r="G529" t="s">
        <v>820</v>
      </c>
      <c r="H529" s="3">
        <v>45758</v>
      </c>
      <c r="I529" t="s">
        <v>822</v>
      </c>
      <c r="J529">
        <f t="shared" si="24"/>
        <v>10</v>
      </c>
      <c r="K529" t="str">
        <f t="shared" si="25"/>
        <v>Late</v>
      </c>
      <c r="L529">
        <f t="shared" ca="1" si="26"/>
        <v>385</v>
      </c>
    </row>
    <row r="530" spans="1:12" x14ac:dyDescent="0.3">
      <c r="A530" t="s">
        <v>537</v>
      </c>
      <c r="B530" t="s">
        <v>809</v>
      </c>
      <c r="C530" s="3">
        <v>45581</v>
      </c>
      <c r="D530" s="3">
        <v>45611</v>
      </c>
      <c r="E530">
        <v>1198.76</v>
      </c>
      <c r="F530" t="s">
        <v>818</v>
      </c>
      <c r="G530" t="s">
        <v>820</v>
      </c>
      <c r="H530" s="3">
        <v>45618</v>
      </c>
      <c r="I530" t="s">
        <v>822</v>
      </c>
      <c r="J530">
        <f t="shared" si="24"/>
        <v>7</v>
      </c>
      <c r="K530" t="str">
        <f t="shared" si="25"/>
        <v>Late</v>
      </c>
      <c r="L530">
        <f t="shared" ca="1" si="26"/>
        <v>522</v>
      </c>
    </row>
    <row r="531" spans="1:12" x14ac:dyDescent="0.3">
      <c r="A531" t="s">
        <v>538</v>
      </c>
      <c r="B531" t="s">
        <v>813</v>
      </c>
      <c r="C531" s="3">
        <v>45826</v>
      </c>
      <c r="D531" s="3">
        <v>45856</v>
      </c>
      <c r="E531">
        <v>1819.59</v>
      </c>
      <c r="F531" t="s">
        <v>816</v>
      </c>
      <c r="G531" t="s">
        <v>820</v>
      </c>
      <c r="H531" s="3">
        <v>45855</v>
      </c>
      <c r="I531" t="s">
        <v>822</v>
      </c>
      <c r="J531">
        <f t="shared" si="24"/>
        <v>-1</v>
      </c>
      <c r="K531" t="str">
        <f t="shared" si="25"/>
        <v>On-Time</v>
      </c>
      <c r="L531">
        <f t="shared" ca="1" si="26"/>
        <v>277</v>
      </c>
    </row>
    <row r="532" spans="1:12" x14ac:dyDescent="0.3">
      <c r="A532" t="s">
        <v>539</v>
      </c>
      <c r="B532" t="s">
        <v>813</v>
      </c>
      <c r="C532" s="3">
        <v>45690</v>
      </c>
      <c r="D532" s="3">
        <v>45720</v>
      </c>
      <c r="E532">
        <v>3747.3</v>
      </c>
      <c r="F532" t="s">
        <v>815</v>
      </c>
      <c r="G532" t="s">
        <v>821</v>
      </c>
      <c r="H532" s="3">
        <v>45720</v>
      </c>
      <c r="I532" t="s">
        <v>822</v>
      </c>
      <c r="J532">
        <f t="shared" si="24"/>
        <v>0</v>
      </c>
      <c r="K532" t="str">
        <f t="shared" si="25"/>
        <v>On-Time</v>
      </c>
      <c r="L532">
        <f t="shared" ca="1" si="26"/>
        <v>413</v>
      </c>
    </row>
    <row r="533" spans="1:12" x14ac:dyDescent="0.3">
      <c r="A533" t="s">
        <v>540</v>
      </c>
      <c r="B533" t="s">
        <v>810</v>
      </c>
      <c r="C533" s="3">
        <v>45154</v>
      </c>
      <c r="D533" s="3">
        <v>45184</v>
      </c>
      <c r="E533">
        <v>4706.8100000000004</v>
      </c>
      <c r="F533" t="s">
        <v>814</v>
      </c>
      <c r="G533" t="s">
        <v>821</v>
      </c>
      <c r="H533" s="3">
        <v>45184</v>
      </c>
      <c r="I533" t="s">
        <v>822</v>
      </c>
      <c r="J533">
        <f t="shared" si="24"/>
        <v>0</v>
      </c>
      <c r="K533" t="str">
        <f t="shared" si="25"/>
        <v>On-Time</v>
      </c>
      <c r="L533">
        <f t="shared" ca="1" si="26"/>
        <v>949</v>
      </c>
    </row>
    <row r="534" spans="1:12" x14ac:dyDescent="0.3">
      <c r="A534" t="s">
        <v>541</v>
      </c>
      <c r="B534" t="s">
        <v>812</v>
      </c>
      <c r="C534" s="3">
        <v>45782</v>
      </c>
      <c r="D534" s="3">
        <v>45812</v>
      </c>
      <c r="E534">
        <v>2329.4299999999998</v>
      </c>
      <c r="F534" t="s">
        <v>815</v>
      </c>
      <c r="G534" t="s">
        <v>820</v>
      </c>
      <c r="H534" s="3">
        <v>45820</v>
      </c>
      <c r="I534" t="s">
        <v>822</v>
      </c>
      <c r="J534">
        <f t="shared" si="24"/>
        <v>8</v>
      </c>
      <c r="K534" t="str">
        <f t="shared" si="25"/>
        <v>Late</v>
      </c>
      <c r="L534">
        <f t="shared" ca="1" si="26"/>
        <v>321</v>
      </c>
    </row>
    <row r="535" spans="1:12" x14ac:dyDescent="0.3">
      <c r="A535" t="s">
        <v>542</v>
      </c>
      <c r="B535" t="s">
        <v>811</v>
      </c>
      <c r="C535" s="3">
        <v>45516</v>
      </c>
      <c r="D535" s="3">
        <v>45546</v>
      </c>
      <c r="E535">
        <v>3499.14</v>
      </c>
      <c r="F535" t="s">
        <v>816</v>
      </c>
      <c r="G535" t="s">
        <v>820</v>
      </c>
      <c r="H535" s="3">
        <v>45552</v>
      </c>
      <c r="I535" t="s">
        <v>822</v>
      </c>
      <c r="J535">
        <f t="shared" si="24"/>
        <v>6</v>
      </c>
      <c r="K535" t="str">
        <f t="shared" si="25"/>
        <v>Late</v>
      </c>
      <c r="L535">
        <f t="shared" ca="1" si="26"/>
        <v>587</v>
      </c>
    </row>
    <row r="536" spans="1:12" x14ac:dyDescent="0.3">
      <c r="A536" t="s">
        <v>543</v>
      </c>
      <c r="B536" t="s">
        <v>812</v>
      </c>
      <c r="C536" s="3">
        <v>45146</v>
      </c>
      <c r="D536" s="3">
        <v>45176</v>
      </c>
      <c r="E536">
        <v>3732.67</v>
      </c>
      <c r="F536" t="s">
        <v>816</v>
      </c>
      <c r="G536" t="s">
        <v>821</v>
      </c>
      <c r="H536" s="3">
        <v>45176</v>
      </c>
      <c r="I536" t="s">
        <v>822</v>
      </c>
      <c r="J536">
        <f t="shared" si="24"/>
        <v>0</v>
      </c>
      <c r="K536" t="str">
        <f t="shared" si="25"/>
        <v>On-Time</v>
      </c>
      <c r="L536">
        <f t="shared" ca="1" si="26"/>
        <v>957</v>
      </c>
    </row>
    <row r="537" spans="1:12" x14ac:dyDescent="0.3">
      <c r="A537" t="s">
        <v>544</v>
      </c>
      <c r="B537" t="s">
        <v>812</v>
      </c>
      <c r="C537" s="3">
        <v>45542</v>
      </c>
      <c r="D537" s="3">
        <v>45572</v>
      </c>
      <c r="E537">
        <v>365.59</v>
      </c>
      <c r="F537" t="s">
        <v>815</v>
      </c>
      <c r="G537" t="s">
        <v>819</v>
      </c>
      <c r="H537" s="3">
        <v>45572</v>
      </c>
      <c r="I537" t="s">
        <v>822</v>
      </c>
      <c r="J537">
        <f t="shared" si="24"/>
        <v>0</v>
      </c>
      <c r="K537" t="str">
        <f t="shared" si="25"/>
        <v>Pending</v>
      </c>
      <c r="L537">
        <f t="shared" ca="1" si="26"/>
        <v>561</v>
      </c>
    </row>
    <row r="538" spans="1:12" x14ac:dyDescent="0.3">
      <c r="A538" t="s">
        <v>545</v>
      </c>
      <c r="B538" t="s">
        <v>813</v>
      </c>
      <c r="C538" s="3">
        <v>45383</v>
      </c>
      <c r="D538" s="3">
        <v>45413</v>
      </c>
      <c r="E538">
        <v>3778.67</v>
      </c>
      <c r="F538" t="s">
        <v>814</v>
      </c>
      <c r="G538" t="s">
        <v>819</v>
      </c>
      <c r="H538" s="3">
        <v>45410</v>
      </c>
      <c r="I538" t="s">
        <v>822</v>
      </c>
      <c r="J538">
        <f t="shared" si="24"/>
        <v>-3</v>
      </c>
      <c r="K538" t="str">
        <f t="shared" si="25"/>
        <v>Pending</v>
      </c>
      <c r="L538">
        <f t="shared" ca="1" si="26"/>
        <v>720</v>
      </c>
    </row>
    <row r="539" spans="1:12" x14ac:dyDescent="0.3">
      <c r="A539" t="s">
        <v>546</v>
      </c>
      <c r="B539" t="s">
        <v>811</v>
      </c>
      <c r="C539" s="3">
        <v>45397</v>
      </c>
      <c r="D539" s="3">
        <v>45427</v>
      </c>
      <c r="E539">
        <v>4324.6400000000003</v>
      </c>
      <c r="F539" t="s">
        <v>814</v>
      </c>
      <c r="G539" t="s">
        <v>820</v>
      </c>
      <c r="H539" s="3">
        <v>45433</v>
      </c>
      <c r="I539" t="s">
        <v>822</v>
      </c>
      <c r="J539">
        <f t="shared" si="24"/>
        <v>6</v>
      </c>
      <c r="K539" t="str">
        <f t="shared" si="25"/>
        <v>Late</v>
      </c>
      <c r="L539">
        <f t="shared" ca="1" si="26"/>
        <v>706</v>
      </c>
    </row>
    <row r="540" spans="1:12" x14ac:dyDescent="0.3">
      <c r="A540" t="s">
        <v>547</v>
      </c>
      <c r="B540" t="s">
        <v>813</v>
      </c>
      <c r="C540" s="3">
        <v>45500</v>
      </c>
      <c r="D540" s="3">
        <v>45530</v>
      </c>
      <c r="E540">
        <v>3648.16</v>
      </c>
      <c r="F540" t="s">
        <v>815</v>
      </c>
      <c r="G540" t="s">
        <v>821</v>
      </c>
      <c r="H540" s="3">
        <v>45530</v>
      </c>
      <c r="I540" t="s">
        <v>822</v>
      </c>
      <c r="J540">
        <f t="shared" si="24"/>
        <v>0</v>
      </c>
      <c r="K540" t="str">
        <f t="shared" si="25"/>
        <v>On-Time</v>
      </c>
      <c r="L540">
        <f t="shared" ca="1" si="26"/>
        <v>603</v>
      </c>
    </row>
    <row r="541" spans="1:12" x14ac:dyDescent="0.3">
      <c r="A541" t="s">
        <v>548</v>
      </c>
      <c r="B541" t="s">
        <v>810</v>
      </c>
      <c r="C541" s="3">
        <v>45727</v>
      </c>
      <c r="D541" s="3">
        <v>45757</v>
      </c>
      <c r="E541">
        <v>106.75</v>
      </c>
      <c r="F541" t="s">
        <v>818</v>
      </c>
      <c r="G541" t="s">
        <v>821</v>
      </c>
      <c r="H541" s="3">
        <v>45757</v>
      </c>
      <c r="I541" t="s">
        <v>822</v>
      </c>
      <c r="J541">
        <f t="shared" si="24"/>
        <v>0</v>
      </c>
      <c r="K541" t="str">
        <f t="shared" si="25"/>
        <v>On-Time</v>
      </c>
      <c r="L541">
        <f t="shared" ca="1" si="26"/>
        <v>376</v>
      </c>
    </row>
    <row r="542" spans="1:12" x14ac:dyDescent="0.3">
      <c r="A542" t="s">
        <v>549</v>
      </c>
      <c r="B542" t="s">
        <v>810</v>
      </c>
      <c r="C542" s="3">
        <v>44947</v>
      </c>
      <c r="D542" s="3">
        <v>44977</v>
      </c>
      <c r="E542">
        <v>2259.02</v>
      </c>
      <c r="F542" t="s">
        <v>815</v>
      </c>
      <c r="G542" t="s">
        <v>820</v>
      </c>
      <c r="H542" s="3">
        <v>44979</v>
      </c>
      <c r="I542" t="s">
        <v>822</v>
      </c>
      <c r="J542">
        <f t="shared" si="24"/>
        <v>2</v>
      </c>
      <c r="K542" t="str">
        <f t="shared" si="25"/>
        <v>Late</v>
      </c>
      <c r="L542">
        <f t="shared" ca="1" si="26"/>
        <v>1156</v>
      </c>
    </row>
    <row r="543" spans="1:12" x14ac:dyDescent="0.3">
      <c r="A543" t="s">
        <v>550</v>
      </c>
      <c r="B543" t="s">
        <v>812</v>
      </c>
      <c r="C543" s="3">
        <v>44941</v>
      </c>
      <c r="D543" s="3">
        <v>44971</v>
      </c>
      <c r="E543">
        <v>2046.68</v>
      </c>
      <c r="F543" t="s">
        <v>815</v>
      </c>
      <c r="G543" t="s">
        <v>819</v>
      </c>
      <c r="H543" s="3">
        <v>44981</v>
      </c>
      <c r="I543" t="s">
        <v>822</v>
      </c>
      <c r="J543">
        <f t="shared" si="24"/>
        <v>10</v>
      </c>
      <c r="K543" t="str">
        <f t="shared" si="25"/>
        <v>Pending</v>
      </c>
      <c r="L543">
        <f t="shared" ca="1" si="26"/>
        <v>1162</v>
      </c>
    </row>
    <row r="544" spans="1:12" x14ac:dyDescent="0.3">
      <c r="A544" t="s">
        <v>551</v>
      </c>
      <c r="B544" t="s">
        <v>812</v>
      </c>
      <c r="C544" s="3">
        <v>45782</v>
      </c>
      <c r="D544" s="3">
        <v>45812</v>
      </c>
      <c r="E544">
        <v>3776.36</v>
      </c>
      <c r="F544" t="s">
        <v>816</v>
      </c>
      <c r="G544" t="s">
        <v>821</v>
      </c>
      <c r="H544" s="3">
        <v>45812</v>
      </c>
      <c r="I544" t="s">
        <v>822</v>
      </c>
      <c r="J544">
        <f t="shared" si="24"/>
        <v>0</v>
      </c>
      <c r="K544" t="str">
        <f t="shared" si="25"/>
        <v>On-Time</v>
      </c>
      <c r="L544">
        <f t="shared" ca="1" si="26"/>
        <v>321</v>
      </c>
    </row>
    <row r="545" spans="1:12" x14ac:dyDescent="0.3">
      <c r="A545" t="s">
        <v>552</v>
      </c>
      <c r="B545" t="s">
        <v>810</v>
      </c>
      <c r="C545" s="3">
        <v>45815</v>
      </c>
      <c r="D545" s="3">
        <v>45845</v>
      </c>
      <c r="E545">
        <v>2839.95</v>
      </c>
      <c r="F545" t="s">
        <v>814</v>
      </c>
      <c r="G545" t="s">
        <v>821</v>
      </c>
      <c r="H545" s="3">
        <v>45845</v>
      </c>
      <c r="I545" t="s">
        <v>822</v>
      </c>
      <c r="J545">
        <f t="shared" si="24"/>
        <v>0</v>
      </c>
      <c r="K545" t="str">
        <f t="shared" si="25"/>
        <v>On-Time</v>
      </c>
      <c r="L545">
        <f t="shared" ca="1" si="26"/>
        <v>288</v>
      </c>
    </row>
    <row r="546" spans="1:12" x14ac:dyDescent="0.3">
      <c r="A546" t="s">
        <v>553</v>
      </c>
      <c r="B546" t="s">
        <v>810</v>
      </c>
      <c r="C546" s="3">
        <v>45122</v>
      </c>
      <c r="D546" s="3">
        <v>45152</v>
      </c>
      <c r="E546">
        <v>2261.9499999999998</v>
      </c>
      <c r="F546" t="s">
        <v>816</v>
      </c>
      <c r="G546" t="s">
        <v>819</v>
      </c>
      <c r="H546" s="3">
        <v>45154</v>
      </c>
      <c r="I546" t="s">
        <v>822</v>
      </c>
      <c r="J546">
        <f t="shared" si="24"/>
        <v>2</v>
      </c>
      <c r="K546" t="str">
        <f t="shared" si="25"/>
        <v>Pending</v>
      </c>
      <c r="L546">
        <f t="shared" ca="1" si="26"/>
        <v>981</v>
      </c>
    </row>
    <row r="547" spans="1:12" x14ac:dyDescent="0.3">
      <c r="A547" t="s">
        <v>554</v>
      </c>
      <c r="B547" t="s">
        <v>810</v>
      </c>
      <c r="C547" s="3">
        <v>45686</v>
      </c>
      <c r="D547" s="3">
        <v>45716</v>
      </c>
      <c r="E547">
        <v>104.02</v>
      </c>
      <c r="F547" t="s">
        <v>814</v>
      </c>
      <c r="G547" t="s">
        <v>820</v>
      </c>
      <c r="H547" s="3">
        <v>45714</v>
      </c>
      <c r="I547" t="s">
        <v>822</v>
      </c>
      <c r="J547">
        <f t="shared" si="24"/>
        <v>-2</v>
      </c>
      <c r="K547" t="str">
        <f t="shared" si="25"/>
        <v>On-Time</v>
      </c>
      <c r="L547">
        <f t="shared" ca="1" si="26"/>
        <v>417</v>
      </c>
    </row>
    <row r="548" spans="1:12" x14ac:dyDescent="0.3">
      <c r="A548" t="s">
        <v>555</v>
      </c>
      <c r="B548" t="s">
        <v>813</v>
      </c>
      <c r="C548" s="3">
        <v>45818</v>
      </c>
      <c r="D548" s="3">
        <v>45848</v>
      </c>
      <c r="E548">
        <v>3899.93</v>
      </c>
      <c r="F548" t="s">
        <v>816</v>
      </c>
      <c r="G548" t="s">
        <v>820</v>
      </c>
      <c r="H548" s="3">
        <v>45852</v>
      </c>
      <c r="I548" t="s">
        <v>822</v>
      </c>
      <c r="J548">
        <f t="shared" si="24"/>
        <v>4</v>
      </c>
      <c r="K548" t="str">
        <f t="shared" si="25"/>
        <v>Late</v>
      </c>
      <c r="L548">
        <f t="shared" ca="1" si="26"/>
        <v>285</v>
      </c>
    </row>
    <row r="549" spans="1:12" x14ac:dyDescent="0.3">
      <c r="A549" t="s">
        <v>556</v>
      </c>
      <c r="B549" t="s">
        <v>812</v>
      </c>
      <c r="C549" s="3">
        <v>45476</v>
      </c>
      <c r="D549" s="3">
        <v>45506</v>
      </c>
      <c r="E549">
        <v>276.7</v>
      </c>
      <c r="F549" t="s">
        <v>814</v>
      </c>
      <c r="G549" t="s">
        <v>819</v>
      </c>
      <c r="H549" s="3">
        <v>45512</v>
      </c>
      <c r="I549" t="s">
        <v>822</v>
      </c>
      <c r="J549">
        <f t="shared" si="24"/>
        <v>6</v>
      </c>
      <c r="K549" t="str">
        <f t="shared" si="25"/>
        <v>Pending</v>
      </c>
      <c r="L549">
        <f t="shared" ca="1" si="26"/>
        <v>627</v>
      </c>
    </row>
    <row r="550" spans="1:12" x14ac:dyDescent="0.3">
      <c r="A550" t="s">
        <v>557</v>
      </c>
      <c r="B550" t="s">
        <v>809</v>
      </c>
      <c r="C550" s="3">
        <v>45096</v>
      </c>
      <c r="D550" s="3">
        <v>45126</v>
      </c>
      <c r="E550">
        <v>4610.3100000000004</v>
      </c>
      <c r="F550" t="s">
        <v>817</v>
      </c>
      <c r="G550" t="s">
        <v>820</v>
      </c>
      <c r="H550" s="3">
        <v>45127</v>
      </c>
      <c r="I550" t="s">
        <v>822</v>
      </c>
      <c r="J550">
        <f t="shared" si="24"/>
        <v>1</v>
      </c>
      <c r="K550" t="str">
        <f t="shared" si="25"/>
        <v>Late</v>
      </c>
      <c r="L550">
        <f t="shared" ca="1" si="26"/>
        <v>1007</v>
      </c>
    </row>
    <row r="551" spans="1:12" x14ac:dyDescent="0.3">
      <c r="A551" t="s">
        <v>558</v>
      </c>
      <c r="B551" t="s">
        <v>811</v>
      </c>
      <c r="C551" s="3">
        <v>45812</v>
      </c>
      <c r="D551" s="3">
        <v>45842</v>
      </c>
      <c r="E551">
        <v>1285.1300000000001</v>
      </c>
      <c r="F551" t="s">
        <v>816</v>
      </c>
      <c r="G551" t="s">
        <v>821</v>
      </c>
      <c r="H551" s="3">
        <v>45842</v>
      </c>
      <c r="I551" t="s">
        <v>822</v>
      </c>
      <c r="J551">
        <f t="shared" si="24"/>
        <v>0</v>
      </c>
      <c r="K551" t="str">
        <f t="shared" si="25"/>
        <v>On-Time</v>
      </c>
      <c r="L551">
        <f t="shared" ca="1" si="26"/>
        <v>291</v>
      </c>
    </row>
    <row r="552" spans="1:12" x14ac:dyDescent="0.3">
      <c r="A552" t="s">
        <v>559</v>
      </c>
      <c r="B552" t="s">
        <v>813</v>
      </c>
      <c r="C552" s="3">
        <v>45069</v>
      </c>
      <c r="D552" s="3">
        <v>45099</v>
      </c>
      <c r="E552">
        <v>3752.28</v>
      </c>
      <c r="F552" t="s">
        <v>816</v>
      </c>
      <c r="G552" t="s">
        <v>820</v>
      </c>
      <c r="H552" s="3">
        <v>45108</v>
      </c>
      <c r="I552" t="s">
        <v>822</v>
      </c>
      <c r="J552">
        <f t="shared" si="24"/>
        <v>9</v>
      </c>
      <c r="K552" t="str">
        <f t="shared" si="25"/>
        <v>Late</v>
      </c>
      <c r="L552">
        <f t="shared" ca="1" si="26"/>
        <v>1034</v>
      </c>
    </row>
    <row r="553" spans="1:12" x14ac:dyDescent="0.3">
      <c r="A553" t="s">
        <v>560</v>
      </c>
      <c r="B553" t="s">
        <v>810</v>
      </c>
      <c r="C553" s="3">
        <v>45234</v>
      </c>
      <c r="D553" s="3">
        <v>45264</v>
      </c>
      <c r="E553">
        <v>3746.16</v>
      </c>
      <c r="F553" t="s">
        <v>816</v>
      </c>
      <c r="G553" t="s">
        <v>819</v>
      </c>
      <c r="H553" s="3">
        <v>45272</v>
      </c>
      <c r="I553" t="s">
        <v>822</v>
      </c>
      <c r="J553">
        <f t="shared" si="24"/>
        <v>8</v>
      </c>
      <c r="K553" t="str">
        <f t="shared" si="25"/>
        <v>Pending</v>
      </c>
      <c r="L553">
        <f t="shared" ca="1" si="26"/>
        <v>869</v>
      </c>
    </row>
    <row r="554" spans="1:12" x14ac:dyDescent="0.3">
      <c r="A554" t="s">
        <v>561</v>
      </c>
      <c r="B554" t="s">
        <v>809</v>
      </c>
      <c r="C554" s="3">
        <v>45644</v>
      </c>
      <c r="D554" s="3">
        <v>45674</v>
      </c>
      <c r="E554">
        <v>4464.8999999999996</v>
      </c>
      <c r="F554" t="s">
        <v>817</v>
      </c>
      <c r="G554" t="s">
        <v>821</v>
      </c>
      <c r="H554" s="3">
        <v>45674</v>
      </c>
      <c r="I554" t="s">
        <v>822</v>
      </c>
      <c r="J554">
        <f t="shared" si="24"/>
        <v>0</v>
      </c>
      <c r="K554" t="str">
        <f t="shared" si="25"/>
        <v>On-Time</v>
      </c>
      <c r="L554">
        <f t="shared" ca="1" si="26"/>
        <v>459</v>
      </c>
    </row>
    <row r="555" spans="1:12" x14ac:dyDescent="0.3">
      <c r="A555" t="s">
        <v>562</v>
      </c>
      <c r="B555" t="s">
        <v>813</v>
      </c>
      <c r="C555" s="3">
        <v>45471</v>
      </c>
      <c r="D555" s="3">
        <v>45501</v>
      </c>
      <c r="E555">
        <v>4957.1499999999996</v>
      </c>
      <c r="F555" t="s">
        <v>817</v>
      </c>
      <c r="G555" t="s">
        <v>819</v>
      </c>
      <c r="H555" s="3">
        <v>45500</v>
      </c>
      <c r="I555" t="s">
        <v>822</v>
      </c>
      <c r="J555">
        <f t="shared" si="24"/>
        <v>-1</v>
      </c>
      <c r="K555" t="str">
        <f t="shared" si="25"/>
        <v>Pending</v>
      </c>
      <c r="L555">
        <f t="shared" ca="1" si="26"/>
        <v>632</v>
      </c>
    </row>
    <row r="556" spans="1:12" x14ac:dyDescent="0.3">
      <c r="A556" t="s">
        <v>563</v>
      </c>
      <c r="B556" t="s">
        <v>812</v>
      </c>
      <c r="C556" s="3">
        <v>45503</v>
      </c>
      <c r="D556" s="3">
        <v>45533</v>
      </c>
      <c r="E556">
        <v>129.91</v>
      </c>
      <c r="F556" t="s">
        <v>816</v>
      </c>
      <c r="G556" t="s">
        <v>819</v>
      </c>
      <c r="H556" s="3">
        <v>45538</v>
      </c>
      <c r="I556" t="s">
        <v>822</v>
      </c>
      <c r="J556">
        <f t="shared" si="24"/>
        <v>5</v>
      </c>
      <c r="K556" t="str">
        <f t="shared" si="25"/>
        <v>Pending</v>
      </c>
      <c r="L556">
        <f t="shared" ca="1" si="26"/>
        <v>600</v>
      </c>
    </row>
    <row r="557" spans="1:12" x14ac:dyDescent="0.3">
      <c r="A557" t="s">
        <v>564</v>
      </c>
      <c r="B557" t="s">
        <v>810</v>
      </c>
      <c r="C557" s="3">
        <v>45080</v>
      </c>
      <c r="D557" s="3">
        <v>45110</v>
      </c>
      <c r="E557">
        <v>4151.46</v>
      </c>
      <c r="F557" t="s">
        <v>818</v>
      </c>
      <c r="G557" t="s">
        <v>821</v>
      </c>
      <c r="H557" s="3">
        <v>45110</v>
      </c>
      <c r="I557" t="s">
        <v>822</v>
      </c>
      <c r="J557">
        <f t="shared" si="24"/>
        <v>0</v>
      </c>
      <c r="K557" t="str">
        <f t="shared" si="25"/>
        <v>On-Time</v>
      </c>
      <c r="L557">
        <f t="shared" ca="1" si="26"/>
        <v>1023</v>
      </c>
    </row>
    <row r="558" spans="1:12" x14ac:dyDescent="0.3">
      <c r="A558" t="s">
        <v>565</v>
      </c>
      <c r="B558" t="s">
        <v>813</v>
      </c>
      <c r="C558" s="3">
        <v>45345</v>
      </c>
      <c r="D558" s="3">
        <v>45375</v>
      </c>
      <c r="E558">
        <v>4386</v>
      </c>
      <c r="F558" t="s">
        <v>818</v>
      </c>
      <c r="G558" t="s">
        <v>819</v>
      </c>
      <c r="H558" s="3">
        <v>45374</v>
      </c>
      <c r="I558" t="s">
        <v>822</v>
      </c>
      <c r="J558">
        <f t="shared" si="24"/>
        <v>-1</v>
      </c>
      <c r="K558" t="str">
        <f t="shared" si="25"/>
        <v>Pending</v>
      </c>
      <c r="L558">
        <f t="shared" ca="1" si="26"/>
        <v>758</v>
      </c>
    </row>
    <row r="559" spans="1:12" x14ac:dyDescent="0.3">
      <c r="A559" t="s">
        <v>566</v>
      </c>
      <c r="B559" t="s">
        <v>812</v>
      </c>
      <c r="C559" s="3">
        <v>45452</v>
      </c>
      <c r="D559" s="3">
        <v>45482</v>
      </c>
      <c r="E559">
        <v>2792.29</v>
      </c>
      <c r="F559" t="s">
        <v>818</v>
      </c>
      <c r="G559" t="s">
        <v>821</v>
      </c>
      <c r="H559" s="3">
        <v>45482</v>
      </c>
      <c r="I559" t="s">
        <v>822</v>
      </c>
      <c r="J559">
        <f t="shared" si="24"/>
        <v>0</v>
      </c>
      <c r="K559" t="str">
        <f t="shared" si="25"/>
        <v>On-Time</v>
      </c>
      <c r="L559">
        <f t="shared" ca="1" si="26"/>
        <v>651</v>
      </c>
    </row>
    <row r="560" spans="1:12" x14ac:dyDescent="0.3">
      <c r="A560" t="s">
        <v>567</v>
      </c>
      <c r="B560" t="s">
        <v>813</v>
      </c>
      <c r="C560" s="3">
        <v>45738</v>
      </c>
      <c r="D560" s="3">
        <v>45768</v>
      </c>
      <c r="E560">
        <v>2307.9</v>
      </c>
      <c r="F560" t="s">
        <v>816</v>
      </c>
      <c r="G560" t="s">
        <v>819</v>
      </c>
      <c r="H560" s="3">
        <v>45774</v>
      </c>
      <c r="I560" t="s">
        <v>822</v>
      </c>
      <c r="J560">
        <f t="shared" si="24"/>
        <v>6</v>
      </c>
      <c r="K560" t="str">
        <f t="shared" si="25"/>
        <v>Pending</v>
      </c>
      <c r="L560">
        <f t="shared" ca="1" si="26"/>
        <v>365</v>
      </c>
    </row>
    <row r="561" spans="1:12" x14ac:dyDescent="0.3">
      <c r="A561" t="s">
        <v>568</v>
      </c>
      <c r="B561" t="s">
        <v>809</v>
      </c>
      <c r="C561" s="3">
        <v>45537</v>
      </c>
      <c r="D561" s="3">
        <v>45567</v>
      </c>
      <c r="E561">
        <v>1432.07</v>
      </c>
      <c r="F561" t="s">
        <v>818</v>
      </c>
      <c r="G561" t="s">
        <v>821</v>
      </c>
      <c r="H561" s="3">
        <v>45567</v>
      </c>
      <c r="I561" t="s">
        <v>822</v>
      </c>
      <c r="J561">
        <f t="shared" si="24"/>
        <v>0</v>
      </c>
      <c r="K561" t="str">
        <f t="shared" si="25"/>
        <v>On-Time</v>
      </c>
      <c r="L561">
        <f t="shared" ca="1" si="26"/>
        <v>566</v>
      </c>
    </row>
    <row r="562" spans="1:12" x14ac:dyDescent="0.3">
      <c r="A562" t="s">
        <v>569</v>
      </c>
      <c r="B562" t="s">
        <v>812</v>
      </c>
      <c r="C562" s="3">
        <v>45472</v>
      </c>
      <c r="D562" s="3">
        <v>45502</v>
      </c>
      <c r="E562">
        <v>2127.41</v>
      </c>
      <c r="F562" t="s">
        <v>817</v>
      </c>
      <c r="G562" t="s">
        <v>819</v>
      </c>
      <c r="H562" s="3">
        <v>45504</v>
      </c>
      <c r="I562" t="s">
        <v>822</v>
      </c>
      <c r="J562">
        <f t="shared" si="24"/>
        <v>2</v>
      </c>
      <c r="K562" t="str">
        <f t="shared" si="25"/>
        <v>Pending</v>
      </c>
      <c r="L562">
        <f t="shared" ca="1" si="26"/>
        <v>631</v>
      </c>
    </row>
    <row r="563" spans="1:12" x14ac:dyDescent="0.3">
      <c r="A563" t="s">
        <v>570</v>
      </c>
      <c r="B563" t="s">
        <v>811</v>
      </c>
      <c r="C563" s="3">
        <v>45623</v>
      </c>
      <c r="D563" s="3">
        <v>45653</v>
      </c>
      <c r="E563">
        <v>254.96</v>
      </c>
      <c r="F563" t="s">
        <v>816</v>
      </c>
      <c r="G563" t="s">
        <v>821</v>
      </c>
      <c r="H563" s="3">
        <v>45653</v>
      </c>
      <c r="I563" t="s">
        <v>822</v>
      </c>
      <c r="J563">
        <f t="shared" si="24"/>
        <v>0</v>
      </c>
      <c r="K563" t="str">
        <f t="shared" si="25"/>
        <v>On-Time</v>
      </c>
      <c r="L563">
        <f t="shared" ca="1" si="26"/>
        <v>480</v>
      </c>
    </row>
    <row r="564" spans="1:12" x14ac:dyDescent="0.3">
      <c r="A564" t="s">
        <v>571</v>
      </c>
      <c r="B564" t="s">
        <v>812</v>
      </c>
      <c r="C564" s="3">
        <v>45160</v>
      </c>
      <c r="D564" s="3">
        <v>45190</v>
      </c>
      <c r="E564">
        <v>2704.91</v>
      </c>
      <c r="F564" t="s">
        <v>818</v>
      </c>
      <c r="G564" t="s">
        <v>819</v>
      </c>
      <c r="H564" s="3">
        <v>45191</v>
      </c>
      <c r="I564" t="s">
        <v>822</v>
      </c>
      <c r="J564">
        <f t="shared" si="24"/>
        <v>1</v>
      </c>
      <c r="K564" t="str">
        <f t="shared" si="25"/>
        <v>Pending</v>
      </c>
      <c r="L564">
        <f t="shared" ca="1" si="26"/>
        <v>943</v>
      </c>
    </row>
    <row r="565" spans="1:12" x14ac:dyDescent="0.3">
      <c r="A565" t="s">
        <v>572</v>
      </c>
      <c r="B565" t="s">
        <v>811</v>
      </c>
      <c r="C565" s="3">
        <v>45438</v>
      </c>
      <c r="D565" s="3">
        <v>45468</v>
      </c>
      <c r="E565">
        <v>1222.6300000000001</v>
      </c>
      <c r="F565" t="s">
        <v>815</v>
      </c>
      <c r="G565" t="s">
        <v>821</v>
      </c>
      <c r="H565" s="3">
        <v>45468</v>
      </c>
      <c r="I565" t="s">
        <v>822</v>
      </c>
      <c r="J565">
        <f t="shared" si="24"/>
        <v>0</v>
      </c>
      <c r="K565" t="str">
        <f t="shared" si="25"/>
        <v>On-Time</v>
      </c>
      <c r="L565">
        <f t="shared" ca="1" si="26"/>
        <v>665</v>
      </c>
    </row>
    <row r="566" spans="1:12" x14ac:dyDescent="0.3">
      <c r="A566" t="s">
        <v>573</v>
      </c>
      <c r="B566" t="s">
        <v>810</v>
      </c>
      <c r="C566" s="3">
        <v>44951</v>
      </c>
      <c r="D566" s="3">
        <v>44981</v>
      </c>
      <c r="E566">
        <v>2660.77</v>
      </c>
      <c r="F566" t="s">
        <v>817</v>
      </c>
      <c r="G566" t="s">
        <v>820</v>
      </c>
      <c r="H566" s="3">
        <v>44991</v>
      </c>
      <c r="I566" t="s">
        <v>822</v>
      </c>
      <c r="J566">
        <f t="shared" si="24"/>
        <v>10</v>
      </c>
      <c r="K566" t="str">
        <f t="shared" si="25"/>
        <v>Late</v>
      </c>
      <c r="L566">
        <f t="shared" ca="1" si="26"/>
        <v>1152</v>
      </c>
    </row>
    <row r="567" spans="1:12" x14ac:dyDescent="0.3">
      <c r="A567" t="s">
        <v>574</v>
      </c>
      <c r="B567" t="s">
        <v>812</v>
      </c>
      <c r="C567" s="3">
        <v>45120</v>
      </c>
      <c r="D567" s="3">
        <v>45150</v>
      </c>
      <c r="E567">
        <v>1359</v>
      </c>
      <c r="F567" t="s">
        <v>814</v>
      </c>
      <c r="G567" t="s">
        <v>819</v>
      </c>
      <c r="H567" s="3">
        <v>45148</v>
      </c>
      <c r="I567" t="s">
        <v>822</v>
      </c>
      <c r="J567">
        <f t="shared" si="24"/>
        <v>-2</v>
      </c>
      <c r="K567" t="str">
        <f t="shared" si="25"/>
        <v>Pending</v>
      </c>
      <c r="L567">
        <f t="shared" ca="1" si="26"/>
        <v>983</v>
      </c>
    </row>
    <row r="568" spans="1:12" x14ac:dyDescent="0.3">
      <c r="A568" t="s">
        <v>575</v>
      </c>
      <c r="B568" t="s">
        <v>812</v>
      </c>
      <c r="C568" s="3">
        <v>45182</v>
      </c>
      <c r="D568" s="3">
        <v>45212</v>
      </c>
      <c r="E568">
        <v>1597.59</v>
      </c>
      <c r="F568" t="s">
        <v>814</v>
      </c>
      <c r="G568" t="s">
        <v>821</v>
      </c>
      <c r="H568" s="3">
        <v>45212</v>
      </c>
      <c r="I568" t="s">
        <v>822</v>
      </c>
      <c r="J568">
        <f t="shared" si="24"/>
        <v>0</v>
      </c>
      <c r="K568" t="str">
        <f t="shared" si="25"/>
        <v>On-Time</v>
      </c>
      <c r="L568">
        <f t="shared" ca="1" si="26"/>
        <v>921</v>
      </c>
    </row>
    <row r="569" spans="1:12" x14ac:dyDescent="0.3">
      <c r="A569" t="s">
        <v>576</v>
      </c>
      <c r="B569" t="s">
        <v>809</v>
      </c>
      <c r="C569" s="3">
        <v>44997</v>
      </c>
      <c r="D569" s="3">
        <v>45027</v>
      </c>
      <c r="E569">
        <v>4456.2</v>
      </c>
      <c r="F569" t="s">
        <v>815</v>
      </c>
      <c r="G569" t="s">
        <v>820</v>
      </c>
      <c r="H569" s="3">
        <v>45024</v>
      </c>
      <c r="I569" t="s">
        <v>822</v>
      </c>
      <c r="J569">
        <f t="shared" si="24"/>
        <v>-3</v>
      </c>
      <c r="K569" t="str">
        <f t="shared" si="25"/>
        <v>On-Time</v>
      </c>
      <c r="L569">
        <f t="shared" ca="1" si="26"/>
        <v>1106</v>
      </c>
    </row>
    <row r="570" spans="1:12" x14ac:dyDescent="0.3">
      <c r="A570" t="s">
        <v>577</v>
      </c>
      <c r="B570" t="s">
        <v>813</v>
      </c>
      <c r="C570" s="3">
        <v>45587</v>
      </c>
      <c r="D570" s="3">
        <v>45617</v>
      </c>
      <c r="E570">
        <v>583.61</v>
      </c>
      <c r="F570" t="s">
        <v>816</v>
      </c>
      <c r="G570" t="s">
        <v>820</v>
      </c>
      <c r="H570" s="3">
        <v>45620</v>
      </c>
      <c r="I570" t="s">
        <v>822</v>
      </c>
      <c r="J570">
        <f t="shared" si="24"/>
        <v>3</v>
      </c>
      <c r="K570" t="str">
        <f t="shared" si="25"/>
        <v>Late</v>
      </c>
      <c r="L570">
        <f t="shared" ca="1" si="26"/>
        <v>516</v>
      </c>
    </row>
    <row r="571" spans="1:12" x14ac:dyDescent="0.3">
      <c r="A571" t="s">
        <v>578</v>
      </c>
      <c r="B571" t="s">
        <v>813</v>
      </c>
      <c r="C571" s="3">
        <v>45511</v>
      </c>
      <c r="D571" s="3">
        <v>45541</v>
      </c>
      <c r="E571">
        <v>3912.65</v>
      </c>
      <c r="F571" t="s">
        <v>817</v>
      </c>
      <c r="G571" t="s">
        <v>820</v>
      </c>
      <c r="H571" s="3">
        <v>45542</v>
      </c>
      <c r="I571" t="s">
        <v>822</v>
      </c>
      <c r="J571">
        <f t="shared" si="24"/>
        <v>1</v>
      </c>
      <c r="K571" t="str">
        <f t="shared" si="25"/>
        <v>Late</v>
      </c>
      <c r="L571">
        <f t="shared" ca="1" si="26"/>
        <v>592</v>
      </c>
    </row>
    <row r="572" spans="1:12" x14ac:dyDescent="0.3">
      <c r="A572" t="s">
        <v>579</v>
      </c>
      <c r="B572" t="s">
        <v>812</v>
      </c>
      <c r="C572" s="3">
        <v>45070</v>
      </c>
      <c r="D572" s="3">
        <v>45100</v>
      </c>
      <c r="E572">
        <v>2835.21</v>
      </c>
      <c r="F572" t="s">
        <v>817</v>
      </c>
      <c r="G572" t="s">
        <v>821</v>
      </c>
      <c r="H572" s="3">
        <v>45100</v>
      </c>
      <c r="I572" t="s">
        <v>822</v>
      </c>
      <c r="J572">
        <f t="shared" si="24"/>
        <v>0</v>
      </c>
      <c r="K572" t="str">
        <f t="shared" si="25"/>
        <v>On-Time</v>
      </c>
      <c r="L572">
        <f t="shared" ca="1" si="26"/>
        <v>1033</v>
      </c>
    </row>
    <row r="573" spans="1:12" x14ac:dyDescent="0.3">
      <c r="A573" t="s">
        <v>580</v>
      </c>
      <c r="B573" t="s">
        <v>812</v>
      </c>
      <c r="C573" s="3">
        <v>45461</v>
      </c>
      <c r="D573" s="3">
        <v>45491</v>
      </c>
      <c r="E573">
        <v>865.54</v>
      </c>
      <c r="F573" t="s">
        <v>814</v>
      </c>
      <c r="G573" t="s">
        <v>820</v>
      </c>
      <c r="H573" s="3">
        <v>45500</v>
      </c>
      <c r="I573" t="s">
        <v>822</v>
      </c>
      <c r="J573">
        <f t="shared" si="24"/>
        <v>9</v>
      </c>
      <c r="K573" t="str">
        <f t="shared" si="25"/>
        <v>Late</v>
      </c>
      <c r="L573">
        <f t="shared" ca="1" si="26"/>
        <v>642</v>
      </c>
    </row>
    <row r="574" spans="1:12" x14ac:dyDescent="0.3">
      <c r="A574" t="s">
        <v>581</v>
      </c>
      <c r="B574" t="s">
        <v>812</v>
      </c>
      <c r="C574" s="3">
        <v>45455</v>
      </c>
      <c r="D574" s="3">
        <v>45485</v>
      </c>
      <c r="E574">
        <v>3671.15</v>
      </c>
      <c r="F574" t="s">
        <v>816</v>
      </c>
      <c r="G574" t="s">
        <v>820</v>
      </c>
      <c r="H574" s="3">
        <v>45493</v>
      </c>
      <c r="I574" t="s">
        <v>822</v>
      </c>
      <c r="J574">
        <f t="shared" si="24"/>
        <v>8</v>
      </c>
      <c r="K574" t="str">
        <f t="shared" si="25"/>
        <v>Late</v>
      </c>
      <c r="L574">
        <f t="shared" ca="1" si="26"/>
        <v>648</v>
      </c>
    </row>
    <row r="575" spans="1:12" x14ac:dyDescent="0.3">
      <c r="A575" t="s">
        <v>582</v>
      </c>
      <c r="B575" t="s">
        <v>811</v>
      </c>
      <c r="C575" s="3">
        <v>45775</v>
      </c>
      <c r="D575" s="3">
        <v>45805</v>
      </c>
      <c r="E575">
        <v>2131.81</v>
      </c>
      <c r="F575" t="s">
        <v>817</v>
      </c>
      <c r="G575" t="s">
        <v>821</v>
      </c>
      <c r="H575" s="3">
        <v>45805</v>
      </c>
      <c r="I575" t="s">
        <v>822</v>
      </c>
      <c r="J575">
        <f t="shared" si="24"/>
        <v>0</v>
      </c>
      <c r="K575" t="str">
        <f t="shared" si="25"/>
        <v>On-Time</v>
      </c>
      <c r="L575">
        <f t="shared" ca="1" si="26"/>
        <v>328</v>
      </c>
    </row>
    <row r="576" spans="1:12" x14ac:dyDescent="0.3">
      <c r="A576" t="s">
        <v>583</v>
      </c>
      <c r="B576" t="s">
        <v>810</v>
      </c>
      <c r="C576" s="3">
        <v>45616</v>
      </c>
      <c r="D576" s="3">
        <v>45646</v>
      </c>
      <c r="E576">
        <v>4512.54</v>
      </c>
      <c r="F576" t="s">
        <v>818</v>
      </c>
      <c r="G576" t="s">
        <v>820</v>
      </c>
      <c r="H576" s="3">
        <v>45645</v>
      </c>
      <c r="I576" t="s">
        <v>822</v>
      </c>
      <c r="J576">
        <f t="shared" si="24"/>
        <v>-1</v>
      </c>
      <c r="K576" t="str">
        <f t="shared" si="25"/>
        <v>On-Time</v>
      </c>
      <c r="L576">
        <f t="shared" ca="1" si="26"/>
        <v>487</v>
      </c>
    </row>
    <row r="577" spans="1:12" x14ac:dyDescent="0.3">
      <c r="A577" t="s">
        <v>584</v>
      </c>
      <c r="B577" t="s">
        <v>809</v>
      </c>
      <c r="C577" s="3">
        <v>45491</v>
      </c>
      <c r="D577" s="3">
        <v>45521</v>
      </c>
      <c r="E577">
        <v>4516.3100000000004</v>
      </c>
      <c r="F577" t="s">
        <v>817</v>
      </c>
      <c r="G577" t="s">
        <v>819</v>
      </c>
      <c r="H577" s="3">
        <v>45521</v>
      </c>
      <c r="I577" t="s">
        <v>822</v>
      </c>
      <c r="J577">
        <f t="shared" si="24"/>
        <v>0</v>
      </c>
      <c r="K577" t="str">
        <f t="shared" si="25"/>
        <v>Pending</v>
      </c>
      <c r="L577">
        <f t="shared" ca="1" si="26"/>
        <v>612</v>
      </c>
    </row>
    <row r="578" spans="1:12" x14ac:dyDescent="0.3">
      <c r="A578" t="s">
        <v>585</v>
      </c>
      <c r="B578" t="s">
        <v>810</v>
      </c>
      <c r="C578" s="3">
        <v>45554</v>
      </c>
      <c r="D578" s="3">
        <v>45584</v>
      </c>
      <c r="E578">
        <v>1978.27</v>
      </c>
      <c r="F578" t="s">
        <v>817</v>
      </c>
      <c r="G578" t="s">
        <v>821</v>
      </c>
      <c r="H578" s="3">
        <v>45584</v>
      </c>
      <c r="I578" t="s">
        <v>822</v>
      </c>
      <c r="J578">
        <f t="shared" si="24"/>
        <v>0</v>
      </c>
      <c r="K578" t="str">
        <f t="shared" si="25"/>
        <v>On-Time</v>
      </c>
      <c r="L578">
        <f t="shared" ca="1" si="26"/>
        <v>549</v>
      </c>
    </row>
    <row r="579" spans="1:12" x14ac:dyDescent="0.3">
      <c r="A579" t="s">
        <v>586</v>
      </c>
      <c r="B579" t="s">
        <v>811</v>
      </c>
      <c r="C579" s="3">
        <v>45417</v>
      </c>
      <c r="D579" s="3">
        <v>45447</v>
      </c>
      <c r="E579">
        <v>1703.15</v>
      </c>
      <c r="F579" t="s">
        <v>816</v>
      </c>
      <c r="G579" t="s">
        <v>821</v>
      </c>
      <c r="H579" s="3">
        <v>45447</v>
      </c>
      <c r="I579" t="s">
        <v>822</v>
      </c>
      <c r="J579">
        <f t="shared" ref="J579:J642" si="27">IF(H579="",0,H579-D579)</f>
        <v>0</v>
      </c>
      <c r="K579" t="str">
        <f t="shared" ref="K579:K642" si="28">IF(G579="Open","Pending",IF(H579&lt;=D579,"On-Time","Late"))</f>
        <v>On-Time</v>
      </c>
      <c r="L579">
        <f t="shared" ref="L579:L642" ca="1" si="29">TODAY()-C579</f>
        <v>686</v>
      </c>
    </row>
    <row r="580" spans="1:12" x14ac:dyDescent="0.3">
      <c r="A580" t="s">
        <v>587</v>
      </c>
      <c r="B580" t="s">
        <v>809</v>
      </c>
      <c r="C580" s="3">
        <v>45287</v>
      </c>
      <c r="D580" s="3">
        <v>45317</v>
      </c>
      <c r="E580">
        <v>765.18</v>
      </c>
      <c r="F580" t="s">
        <v>817</v>
      </c>
      <c r="G580" t="s">
        <v>819</v>
      </c>
      <c r="H580" s="3">
        <v>45321</v>
      </c>
      <c r="I580" t="s">
        <v>822</v>
      </c>
      <c r="J580">
        <f t="shared" si="27"/>
        <v>4</v>
      </c>
      <c r="K580" t="str">
        <f t="shared" si="28"/>
        <v>Pending</v>
      </c>
      <c r="L580">
        <f t="shared" ca="1" si="29"/>
        <v>816</v>
      </c>
    </row>
    <row r="581" spans="1:12" x14ac:dyDescent="0.3">
      <c r="A581" t="s">
        <v>588</v>
      </c>
      <c r="B581" t="s">
        <v>810</v>
      </c>
      <c r="C581" s="3">
        <v>44992</v>
      </c>
      <c r="D581" s="3">
        <v>45022</v>
      </c>
      <c r="E581">
        <v>4823.6099999999997</v>
      </c>
      <c r="F581" t="s">
        <v>818</v>
      </c>
      <c r="G581" t="s">
        <v>819</v>
      </c>
      <c r="H581" s="3">
        <v>45020</v>
      </c>
      <c r="I581" t="s">
        <v>822</v>
      </c>
      <c r="J581">
        <f t="shared" si="27"/>
        <v>-2</v>
      </c>
      <c r="K581" t="str">
        <f t="shared" si="28"/>
        <v>Pending</v>
      </c>
      <c r="L581">
        <f t="shared" ca="1" si="29"/>
        <v>1111</v>
      </c>
    </row>
    <row r="582" spans="1:12" x14ac:dyDescent="0.3">
      <c r="A582" t="s">
        <v>589</v>
      </c>
      <c r="B582" t="s">
        <v>813</v>
      </c>
      <c r="C582" s="3">
        <v>45813</v>
      </c>
      <c r="D582" s="3">
        <v>45843</v>
      </c>
      <c r="E582">
        <v>929.8</v>
      </c>
      <c r="F582" t="s">
        <v>817</v>
      </c>
      <c r="G582" t="s">
        <v>821</v>
      </c>
      <c r="H582" s="3">
        <v>45843</v>
      </c>
      <c r="I582" t="s">
        <v>822</v>
      </c>
      <c r="J582">
        <f t="shared" si="27"/>
        <v>0</v>
      </c>
      <c r="K582" t="str">
        <f t="shared" si="28"/>
        <v>On-Time</v>
      </c>
      <c r="L582">
        <f t="shared" ca="1" si="29"/>
        <v>290</v>
      </c>
    </row>
    <row r="583" spans="1:12" x14ac:dyDescent="0.3">
      <c r="A583" t="s">
        <v>590</v>
      </c>
      <c r="B583" t="s">
        <v>812</v>
      </c>
      <c r="C583" s="3">
        <v>45349</v>
      </c>
      <c r="D583" s="3">
        <v>45379</v>
      </c>
      <c r="E583">
        <v>4543.1099999999997</v>
      </c>
      <c r="F583" t="s">
        <v>817</v>
      </c>
      <c r="G583" t="s">
        <v>821</v>
      </c>
      <c r="H583" s="3">
        <v>45379</v>
      </c>
      <c r="I583" t="s">
        <v>822</v>
      </c>
      <c r="J583">
        <f t="shared" si="27"/>
        <v>0</v>
      </c>
      <c r="K583" t="str">
        <f t="shared" si="28"/>
        <v>On-Time</v>
      </c>
      <c r="L583">
        <f t="shared" ca="1" si="29"/>
        <v>754</v>
      </c>
    </row>
    <row r="584" spans="1:12" x14ac:dyDescent="0.3">
      <c r="A584" t="s">
        <v>591</v>
      </c>
      <c r="B584" t="s">
        <v>809</v>
      </c>
      <c r="C584" s="3">
        <v>45354</v>
      </c>
      <c r="D584" s="3">
        <v>45384</v>
      </c>
      <c r="E584">
        <v>3165.91</v>
      </c>
      <c r="F584" t="s">
        <v>818</v>
      </c>
      <c r="G584" t="s">
        <v>820</v>
      </c>
      <c r="H584" s="3">
        <v>45394</v>
      </c>
      <c r="I584" t="s">
        <v>822</v>
      </c>
      <c r="J584">
        <f t="shared" si="27"/>
        <v>10</v>
      </c>
      <c r="K584" t="str">
        <f t="shared" si="28"/>
        <v>Late</v>
      </c>
      <c r="L584">
        <f t="shared" ca="1" si="29"/>
        <v>749</v>
      </c>
    </row>
    <row r="585" spans="1:12" x14ac:dyDescent="0.3">
      <c r="A585" t="s">
        <v>592</v>
      </c>
      <c r="B585" t="s">
        <v>813</v>
      </c>
      <c r="C585" s="3">
        <v>45749</v>
      </c>
      <c r="D585" s="3">
        <v>45779</v>
      </c>
      <c r="E585">
        <v>674.53</v>
      </c>
      <c r="F585" t="s">
        <v>817</v>
      </c>
      <c r="G585" t="s">
        <v>820</v>
      </c>
      <c r="H585" s="3">
        <v>45776</v>
      </c>
      <c r="I585" t="s">
        <v>822</v>
      </c>
      <c r="J585">
        <f t="shared" si="27"/>
        <v>-3</v>
      </c>
      <c r="K585" t="str">
        <f t="shared" si="28"/>
        <v>On-Time</v>
      </c>
      <c r="L585">
        <f t="shared" ca="1" si="29"/>
        <v>354</v>
      </c>
    </row>
    <row r="586" spans="1:12" x14ac:dyDescent="0.3">
      <c r="A586" t="s">
        <v>593</v>
      </c>
      <c r="B586" t="s">
        <v>809</v>
      </c>
      <c r="C586" s="3">
        <v>45342</v>
      </c>
      <c r="D586" s="3">
        <v>45372</v>
      </c>
      <c r="E586">
        <v>860.37</v>
      </c>
      <c r="F586" t="s">
        <v>814</v>
      </c>
      <c r="G586" t="s">
        <v>821</v>
      </c>
      <c r="H586" s="3">
        <v>45372</v>
      </c>
      <c r="I586" t="s">
        <v>822</v>
      </c>
      <c r="J586">
        <f t="shared" si="27"/>
        <v>0</v>
      </c>
      <c r="K586" t="str">
        <f t="shared" si="28"/>
        <v>On-Time</v>
      </c>
      <c r="L586">
        <f t="shared" ca="1" si="29"/>
        <v>761</v>
      </c>
    </row>
    <row r="587" spans="1:12" x14ac:dyDescent="0.3">
      <c r="A587" t="s">
        <v>594</v>
      </c>
      <c r="B587" t="s">
        <v>809</v>
      </c>
      <c r="C587" s="3">
        <v>44953</v>
      </c>
      <c r="D587" s="3">
        <v>44983</v>
      </c>
      <c r="E587">
        <v>1506.08</v>
      </c>
      <c r="F587" t="s">
        <v>814</v>
      </c>
      <c r="G587" t="s">
        <v>820</v>
      </c>
      <c r="H587" s="3">
        <v>44993</v>
      </c>
      <c r="I587" t="s">
        <v>822</v>
      </c>
      <c r="J587">
        <f t="shared" si="27"/>
        <v>10</v>
      </c>
      <c r="K587" t="str">
        <f t="shared" si="28"/>
        <v>Late</v>
      </c>
      <c r="L587">
        <f t="shared" ca="1" si="29"/>
        <v>1150</v>
      </c>
    </row>
    <row r="588" spans="1:12" x14ac:dyDescent="0.3">
      <c r="A588" t="s">
        <v>595</v>
      </c>
      <c r="B588" t="s">
        <v>812</v>
      </c>
      <c r="C588" s="3">
        <v>45163</v>
      </c>
      <c r="D588" s="3">
        <v>45193</v>
      </c>
      <c r="E588">
        <v>1413.73</v>
      </c>
      <c r="F588" t="s">
        <v>818</v>
      </c>
      <c r="G588" t="s">
        <v>819</v>
      </c>
      <c r="H588" s="3">
        <v>45193</v>
      </c>
      <c r="I588" t="s">
        <v>822</v>
      </c>
      <c r="J588">
        <f t="shared" si="27"/>
        <v>0</v>
      </c>
      <c r="K588" t="str">
        <f t="shared" si="28"/>
        <v>Pending</v>
      </c>
      <c r="L588">
        <f t="shared" ca="1" si="29"/>
        <v>940</v>
      </c>
    </row>
    <row r="589" spans="1:12" x14ac:dyDescent="0.3">
      <c r="A589" t="s">
        <v>596</v>
      </c>
      <c r="B589" t="s">
        <v>811</v>
      </c>
      <c r="C589" s="3">
        <v>45230</v>
      </c>
      <c r="D589" s="3">
        <v>45260</v>
      </c>
      <c r="E589">
        <v>3386.32</v>
      </c>
      <c r="F589" t="s">
        <v>814</v>
      </c>
      <c r="G589" t="s">
        <v>821</v>
      </c>
      <c r="H589" s="3">
        <v>45260</v>
      </c>
      <c r="I589" t="s">
        <v>822</v>
      </c>
      <c r="J589">
        <f t="shared" si="27"/>
        <v>0</v>
      </c>
      <c r="K589" t="str">
        <f t="shared" si="28"/>
        <v>On-Time</v>
      </c>
      <c r="L589">
        <f t="shared" ca="1" si="29"/>
        <v>873</v>
      </c>
    </row>
    <row r="590" spans="1:12" x14ac:dyDescent="0.3">
      <c r="A590" t="s">
        <v>597</v>
      </c>
      <c r="B590" t="s">
        <v>809</v>
      </c>
      <c r="C590" s="3">
        <v>45633</v>
      </c>
      <c r="D590" s="3">
        <v>45663</v>
      </c>
      <c r="E590">
        <v>3632.78</v>
      </c>
      <c r="F590" t="s">
        <v>817</v>
      </c>
      <c r="G590" t="s">
        <v>821</v>
      </c>
      <c r="H590" s="3">
        <v>45663</v>
      </c>
      <c r="I590" t="s">
        <v>822</v>
      </c>
      <c r="J590">
        <f t="shared" si="27"/>
        <v>0</v>
      </c>
      <c r="K590" t="str">
        <f t="shared" si="28"/>
        <v>On-Time</v>
      </c>
      <c r="L590">
        <f t="shared" ca="1" si="29"/>
        <v>470</v>
      </c>
    </row>
    <row r="591" spans="1:12" x14ac:dyDescent="0.3">
      <c r="A591" t="s">
        <v>598</v>
      </c>
      <c r="B591" t="s">
        <v>813</v>
      </c>
      <c r="C591" s="3">
        <v>45474</v>
      </c>
      <c r="D591" s="3">
        <v>45504</v>
      </c>
      <c r="E591">
        <v>994.97</v>
      </c>
      <c r="F591" t="s">
        <v>815</v>
      </c>
      <c r="G591" t="s">
        <v>821</v>
      </c>
      <c r="H591" s="3">
        <v>45504</v>
      </c>
      <c r="I591" t="s">
        <v>822</v>
      </c>
      <c r="J591">
        <f t="shared" si="27"/>
        <v>0</v>
      </c>
      <c r="K591" t="str">
        <f t="shared" si="28"/>
        <v>On-Time</v>
      </c>
      <c r="L591">
        <f t="shared" ca="1" si="29"/>
        <v>629</v>
      </c>
    </row>
    <row r="592" spans="1:12" x14ac:dyDescent="0.3">
      <c r="A592" t="s">
        <v>599</v>
      </c>
      <c r="B592" t="s">
        <v>813</v>
      </c>
      <c r="C592" s="3">
        <v>45282</v>
      </c>
      <c r="D592" s="3">
        <v>45312</v>
      </c>
      <c r="E592">
        <v>2164.98</v>
      </c>
      <c r="F592" t="s">
        <v>818</v>
      </c>
      <c r="G592" t="s">
        <v>821</v>
      </c>
      <c r="H592" s="3">
        <v>45312</v>
      </c>
      <c r="I592" t="s">
        <v>822</v>
      </c>
      <c r="J592">
        <f t="shared" si="27"/>
        <v>0</v>
      </c>
      <c r="K592" t="str">
        <f t="shared" si="28"/>
        <v>On-Time</v>
      </c>
      <c r="L592">
        <f t="shared" ca="1" si="29"/>
        <v>821</v>
      </c>
    </row>
    <row r="593" spans="1:12" x14ac:dyDescent="0.3">
      <c r="A593" t="s">
        <v>600</v>
      </c>
      <c r="B593" t="s">
        <v>812</v>
      </c>
      <c r="C593" s="3">
        <v>45510</v>
      </c>
      <c r="D593" s="3">
        <v>45540</v>
      </c>
      <c r="E593">
        <v>3042.89</v>
      </c>
      <c r="F593" t="s">
        <v>818</v>
      </c>
      <c r="G593" t="s">
        <v>821</v>
      </c>
      <c r="H593" s="3">
        <v>45540</v>
      </c>
      <c r="I593" t="s">
        <v>822</v>
      </c>
      <c r="J593">
        <f t="shared" si="27"/>
        <v>0</v>
      </c>
      <c r="K593" t="str">
        <f t="shared" si="28"/>
        <v>On-Time</v>
      </c>
      <c r="L593">
        <f t="shared" ca="1" si="29"/>
        <v>593</v>
      </c>
    </row>
    <row r="594" spans="1:12" x14ac:dyDescent="0.3">
      <c r="A594" t="s">
        <v>601</v>
      </c>
      <c r="B594" t="s">
        <v>809</v>
      </c>
      <c r="C594" s="3">
        <v>45245</v>
      </c>
      <c r="D594" s="3">
        <v>45275</v>
      </c>
      <c r="E594">
        <v>4101.79</v>
      </c>
      <c r="F594" t="s">
        <v>818</v>
      </c>
      <c r="G594" t="s">
        <v>821</v>
      </c>
      <c r="H594" s="3">
        <v>45275</v>
      </c>
      <c r="I594" t="s">
        <v>822</v>
      </c>
      <c r="J594">
        <f t="shared" si="27"/>
        <v>0</v>
      </c>
      <c r="K594" t="str">
        <f t="shared" si="28"/>
        <v>On-Time</v>
      </c>
      <c r="L594">
        <f t="shared" ca="1" si="29"/>
        <v>858</v>
      </c>
    </row>
    <row r="595" spans="1:12" x14ac:dyDescent="0.3">
      <c r="A595" t="s">
        <v>602</v>
      </c>
      <c r="B595" t="s">
        <v>813</v>
      </c>
      <c r="C595" s="3">
        <v>45190</v>
      </c>
      <c r="D595" s="3">
        <v>45220</v>
      </c>
      <c r="E595">
        <v>3506.57</v>
      </c>
      <c r="F595" t="s">
        <v>816</v>
      </c>
      <c r="G595" t="s">
        <v>821</v>
      </c>
      <c r="H595" s="3">
        <v>45220</v>
      </c>
      <c r="I595" t="s">
        <v>822</v>
      </c>
      <c r="J595">
        <f t="shared" si="27"/>
        <v>0</v>
      </c>
      <c r="K595" t="str">
        <f t="shared" si="28"/>
        <v>On-Time</v>
      </c>
      <c r="L595">
        <f t="shared" ca="1" si="29"/>
        <v>913</v>
      </c>
    </row>
    <row r="596" spans="1:12" x14ac:dyDescent="0.3">
      <c r="A596" t="s">
        <v>603</v>
      </c>
      <c r="B596" t="s">
        <v>813</v>
      </c>
      <c r="C596" s="3">
        <v>45797</v>
      </c>
      <c r="D596" s="3">
        <v>45827</v>
      </c>
      <c r="E596">
        <v>3352.25</v>
      </c>
      <c r="F596" t="s">
        <v>814</v>
      </c>
      <c r="G596" t="s">
        <v>820</v>
      </c>
      <c r="H596" s="3">
        <v>45828</v>
      </c>
      <c r="I596" t="s">
        <v>822</v>
      </c>
      <c r="J596">
        <f t="shared" si="27"/>
        <v>1</v>
      </c>
      <c r="K596" t="str">
        <f t="shared" si="28"/>
        <v>Late</v>
      </c>
      <c r="L596">
        <f t="shared" ca="1" si="29"/>
        <v>306</v>
      </c>
    </row>
    <row r="597" spans="1:12" x14ac:dyDescent="0.3">
      <c r="A597" t="s">
        <v>604</v>
      </c>
      <c r="B597" t="s">
        <v>813</v>
      </c>
      <c r="C597" s="3">
        <v>45220</v>
      </c>
      <c r="D597" s="3">
        <v>45250</v>
      </c>
      <c r="E597">
        <v>940.15</v>
      </c>
      <c r="F597" t="s">
        <v>817</v>
      </c>
      <c r="G597" t="s">
        <v>819</v>
      </c>
      <c r="H597" s="3">
        <v>45254</v>
      </c>
      <c r="I597" t="s">
        <v>822</v>
      </c>
      <c r="J597">
        <f t="shared" si="27"/>
        <v>4</v>
      </c>
      <c r="K597" t="str">
        <f t="shared" si="28"/>
        <v>Pending</v>
      </c>
      <c r="L597">
        <f t="shared" ca="1" si="29"/>
        <v>883</v>
      </c>
    </row>
    <row r="598" spans="1:12" x14ac:dyDescent="0.3">
      <c r="A598" t="s">
        <v>605</v>
      </c>
      <c r="B598" t="s">
        <v>809</v>
      </c>
      <c r="C598" s="3">
        <v>45162</v>
      </c>
      <c r="D598" s="3">
        <v>45192</v>
      </c>
      <c r="E598">
        <v>3505.16</v>
      </c>
      <c r="F598" t="s">
        <v>817</v>
      </c>
      <c r="G598" t="s">
        <v>819</v>
      </c>
      <c r="H598" s="3">
        <v>45199</v>
      </c>
      <c r="I598" t="s">
        <v>822</v>
      </c>
      <c r="J598">
        <f t="shared" si="27"/>
        <v>7</v>
      </c>
      <c r="K598" t="str">
        <f t="shared" si="28"/>
        <v>Pending</v>
      </c>
      <c r="L598">
        <f t="shared" ca="1" si="29"/>
        <v>941</v>
      </c>
    </row>
    <row r="599" spans="1:12" x14ac:dyDescent="0.3">
      <c r="A599" t="s">
        <v>606</v>
      </c>
      <c r="B599" t="s">
        <v>812</v>
      </c>
      <c r="C599" s="3">
        <v>45420</v>
      </c>
      <c r="D599" s="3">
        <v>45450</v>
      </c>
      <c r="E599">
        <v>319.55</v>
      </c>
      <c r="F599" t="s">
        <v>814</v>
      </c>
      <c r="G599" t="s">
        <v>820</v>
      </c>
      <c r="H599" s="3">
        <v>45450</v>
      </c>
      <c r="I599" t="s">
        <v>822</v>
      </c>
      <c r="J599">
        <f t="shared" si="27"/>
        <v>0</v>
      </c>
      <c r="K599" t="str">
        <f t="shared" si="28"/>
        <v>On-Time</v>
      </c>
      <c r="L599">
        <f t="shared" ca="1" si="29"/>
        <v>683</v>
      </c>
    </row>
    <row r="600" spans="1:12" x14ac:dyDescent="0.3">
      <c r="A600" t="s">
        <v>607</v>
      </c>
      <c r="B600" t="s">
        <v>811</v>
      </c>
      <c r="C600" s="3">
        <v>45223</v>
      </c>
      <c r="D600" s="3">
        <v>45253</v>
      </c>
      <c r="E600">
        <v>1360.57</v>
      </c>
      <c r="F600" t="s">
        <v>815</v>
      </c>
      <c r="G600" t="s">
        <v>821</v>
      </c>
      <c r="H600" s="3">
        <v>45253</v>
      </c>
      <c r="I600" t="s">
        <v>822</v>
      </c>
      <c r="J600">
        <f t="shared" si="27"/>
        <v>0</v>
      </c>
      <c r="K600" t="str">
        <f t="shared" si="28"/>
        <v>On-Time</v>
      </c>
      <c r="L600">
        <f t="shared" ca="1" si="29"/>
        <v>880</v>
      </c>
    </row>
    <row r="601" spans="1:12" x14ac:dyDescent="0.3">
      <c r="A601" t="s">
        <v>608</v>
      </c>
      <c r="B601" t="s">
        <v>811</v>
      </c>
      <c r="C601" s="3">
        <v>45277</v>
      </c>
      <c r="D601" s="3">
        <v>45307</v>
      </c>
      <c r="E601">
        <v>2177.67</v>
      </c>
      <c r="F601" t="s">
        <v>817</v>
      </c>
      <c r="G601" t="s">
        <v>821</v>
      </c>
      <c r="H601" s="3">
        <v>45307</v>
      </c>
      <c r="I601" t="s">
        <v>822</v>
      </c>
      <c r="J601">
        <f t="shared" si="27"/>
        <v>0</v>
      </c>
      <c r="K601" t="str">
        <f t="shared" si="28"/>
        <v>On-Time</v>
      </c>
      <c r="L601">
        <f t="shared" ca="1" si="29"/>
        <v>826</v>
      </c>
    </row>
    <row r="602" spans="1:12" x14ac:dyDescent="0.3">
      <c r="A602" t="s">
        <v>609</v>
      </c>
      <c r="B602" t="s">
        <v>812</v>
      </c>
      <c r="C602" s="3">
        <v>45004</v>
      </c>
      <c r="D602" s="3">
        <v>45034</v>
      </c>
      <c r="E602">
        <v>203.9</v>
      </c>
      <c r="F602" t="s">
        <v>815</v>
      </c>
      <c r="G602" t="s">
        <v>819</v>
      </c>
      <c r="H602" s="3">
        <v>45044</v>
      </c>
      <c r="I602" t="s">
        <v>822</v>
      </c>
      <c r="J602">
        <f t="shared" si="27"/>
        <v>10</v>
      </c>
      <c r="K602" t="str">
        <f t="shared" si="28"/>
        <v>Pending</v>
      </c>
      <c r="L602">
        <f t="shared" ca="1" si="29"/>
        <v>1099</v>
      </c>
    </row>
    <row r="603" spans="1:12" x14ac:dyDescent="0.3">
      <c r="A603" t="s">
        <v>610</v>
      </c>
      <c r="B603" t="s">
        <v>809</v>
      </c>
      <c r="C603" s="3">
        <v>45227</v>
      </c>
      <c r="D603" s="3">
        <v>45257</v>
      </c>
      <c r="E603">
        <v>868.73</v>
      </c>
      <c r="F603" t="s">
        <v>818</v>
      </c>
      <c r="G603" t="s">
        <v>821</v>
      </c>
      <c r="H603" s="3">
        <v>45257</v>
      </c>
      <c r="I603" t="s">
        <v>822</v>
      </c>
      <c r="J603">
        <f t="shared" si="27"/>
        <v>0</v>
      </c>
      <c r="K603" t="str">
        <f t="shared" si="28"/>
        <v>On-Time</v>
      </c>
      <c r="L603">
        <f t="shared" ca="1" si="29"/>
        <v>876</v>
      </c>
    </row>
    <row r="604" spans="1:12" x14ac:dyDescent="0.3">
      <c r="A604" t="s">
        <v>611</v>
      </c>
      <c r="B604" t="s">
        <v>813</v>
      </c>
      <c r="C604" s="3">
        <v>45082</v>
      </c>
      <c r="D604" s="3">
        <v>45112</v>
      </c>
      <c r="E604">
        <v>283.51</v>
      </c>
      <c r="F604" t="s">
        <v>818</v>
      </c>
      <c r="G604" t="s">
        <v>819</v>
      </c>
      <c r="H604" s="3">
        <v>45120</v>
      </c>
      <c r="I604" t="s">
        <v>822</v>
      </c>
      <c r="J604">
        <f t="shared" si="27"/>
        <v>8</v>
      </c>
      <c r="K604" t="str">
        <f t="shared" si="28"/>
        <v>Pending</v>
      </c>
      <c r="L604">
        <f t="shared" ca="1" si="29"/>
        <v>1021</v>
      </c>
    </row>
    <row r="605" spans="1:12" x14ac:dyDescent="0.3">
      <c r="A605" t="s">
        <v>612</v>
      </c>
      <c r="B605" t="s">
        <v>810</v>
      </c>
      <c r="C605" s="3">
        <v>45625</v>
      </c>
      <c r="D605" s="3">
        <v>45655</v>
      </c>
      <c r="E605">
        <v>1373.89</v>
      </c>
      <c r="F605" t="s">
        <v>817</v>
      </c>
      <c r="G605" t="s">
        <v>820</v>
      </c>
      <c r="H605" s="3">
        <v>45659</v>
      </c>
      <c r="I605" t="s">
        <v>822</v>
      </c>
      <c r="J605">
        <f t="shared" si="27"/>
        <v>4</v>
      </c>
      <c r="K605" t="str">
        <f t="shared" si="28"/>
        <v>Late</v>
      </c>
      <c r="L605">
        <f t="shared" ca="1" si="29"/>
        <v>478</v>
      </c>
    </row>
    <row r="606" spans="1:12" x14ac:dyDescent="0.3">
      <c r="A606" t="s">
        <v>613</v>
      </c>
      <c r="B606" t="s">
        <v>809</v>
      </c>
      <c r="C606" s="3">
        <v>45794</v>
      </c>
      <c r="D606" s="3">
        <v>45824</v>
      </c>
      <c r="E606">
        <v>1032.8399999999999</v>
      </c>
      <c r="F606" t="s">
        <v>817</v>
      </c>
      <c r="G606" t="s">
        <v>820</v>
      </c>
      <c r="H606" s="3">
        <v>45826</v>
      </c>
      <c r="I606" t="s">
        <v>822</v>
      </c>
      <c r="J606">
        <f t="shared" si="27"/>
        <v>2</v>
      </c>
      <c r="K606" t="str">
        <f t="shared" si="28"/>
        <v>Late</v>
      </c>
      <c r="L606">
        <f t="shared" ca="1" si="29"/>
        <v>309</v>
      </c>
    </row>
    <row r="607" spans="1:12" x14ac:dyDescent="0.3">
      <c r="A607" t="s">
        <v>614</v>
      </c>
      <c r="B607" t="s">
        <v>811</v>
      </c>
      <c r="C607" s="3">
        <v>45623</v>
      </c>
      <c r="D607" s="3">
        <v>45653</v>
      </c>
      <c r="E607">
        <v>389.67</v>
      </c>
      <c r="F607" t="s">
        <v>816</v>
      </c>
      <c r="G607" t="s">
        <v>820</v>
      </c>
      <c r="H607" s="3">
        <v>45650</v>
      </c>
      <c r="I607" t="s">
        <v>822</v>
      </c>
      <c r="J607">
        <f t="shared" si="27"/>
        <v>-3</v>
      </c>
      <c r="K607" t="str">
        <f t="shared" si="28"/>
        <v>On-Time</v>
      </c>
      <c r="L607">
        <f t="shared" ca="1" si="29"/>
        <v>480</v>
      </c>
    </row>
    <row r="608" spans="1:12" x14ac:dyDescent="0.3">
      <c r="A608" t="s">
        <v>615</v>
      </c>
      <c r="B608" t="s">
        <v>809</v>
      </c>
      <c r="C608" s="3">
        <v>44988</v>
      </c>
      <c r="D608" s="3">
        <v>45018</v>
      </c>
      <c r="E608">
        <v>3748.86</v>
      </c>
      <c r="F608" t="s">
        <v>814</v>
      </c>
      <c r="G608" t="s">
        <v>820</v>
      </c>
      <c r="H608" s="3">
        <v>45021</v>
      </c>
      <c r="I608" t="s">
        <v>822</v>
      </c>
      <c r="J608">
        <f t="shared" si="27"/>
        <v>3</v>
      </c>
      <c r="K608" t="str">
        <f t="shared" si="28"/>
        <v>Late</v>
      </c>
      <c r="L608">
        <f t="shared" ca="1" si="29"/>
        <v>1115</v>
      </c>
    </row>
    <row r="609" spans="1:12" x14ac:dyDescent="0.3">
      <c r="A609" t="s">
        <v>616</v>
      </c>
      <c r="B609" t="s">
        <v>813</v>
      </c>
      <c r="C609" s="3">
        <v>45635</v>
      </c>
      <c r="D609" s="3">
        <v>45665</v>
      </c>
      <c r="E609">
        <v>4546.88</v>
      </c>
      <c r="F609" t="s">
        <v>817</v>
      </c>
      <c r="G609" t="s">
        <v>819</v>
      </c>
      <c r="H609" s="3">
        <v>45675</v>
      </c>
      <c r="I609" t="s">
        <v>822</v>
      </c>
      <c r="J609">
        <f t="shared" si="27"/>
        <v>10</v>
      </c>
      <c r="K609" t="str">
        <f t="shared" si="28"/>
        <v>Pending</v>
      </c>
      <c r="L609">
        <f t="shared" ca="1" si="29"/>
        <v>468</v>
      </c>
    </row>
    <row r="610" spans="1:12" x14ac:dyDescent="0.3">
      <c r="A610" t="s">
        <v>617</v>
      </c>
      <c r="B610" t="s">
        <v>812</v>
      </c>
      <c r="C610" s="3">
        <v>45299</v>
      </c>
      <c r="D610" s="3">
        <v>45329</v>
      </c>
      <c r="E610">
        <v>3439.51</v>
      </c>
      <c r="F610" t="s">
        <v>818</v>
      </c>
      <c r="G610" t="s">
        <v>820</v>
      </c>
      <c r="H610" s="3">
        <v>45336</v>
      </c>
      <c r="I610" t="s">
        <v>822</v>
      </c>
      <c r="J610">
        <f t="shared" si="27"/>
        <v>7</v>
      </c>
      <c r="K610" t="str">
        <f t="shared" si="28"/>
        <v>Late</v>
      </c>
      <c r="L610">
        <f t="shared" ca="1" si="29"/>
        <v>804</v>
      </c>
    </row>
    <row r="611" spans="1:12" x14ac:dyDescent="0.3">
      <c r="A611" t="s">
        <v>618</v>
      </c>
      <c r="B611" t="s">
        <v>813</v>
      </c>
      <c r="C611" s="3">
        <v>44976</v>
      </c>
      <c r="D611" s="3">
        <v>45006</v>
      </c>
      <c r="E611">
        <v>3319.57</v>
      </c>
      <c r="F611" t="s">
        <v>816</v>
      </c>
      <c r="G611" t="s">
        <v>819</v>
      </c>
      <c r="H611" s="3">
        <v>45013</v>
      </c>
      <c r="I611" t="s">
        <v>822</v>
      </c>
      <c r="J611">
        <f t="shared" si="27"/>
        <v>7</v>
      </c>
      <c r="K611" t="str">
        <f t="shared" si="28"/>
        <v>Pending</v>
      </c>
      <c r="L611">
        <f t="shared" ca="1" si="29"/>
        <v>1127</v>
      </c>
    </row>
    <row r="612" spans="1:12" x14ac:dyDescent="0.3">
      <c r="A612" t="s">
        <v>619</v>
      </c>
      <c r="B612" t="s">
        <v>812</v>
      </c>
      <c r="C612" s="3">
        <v>44929</v>
      </c>
      <c r="D612" s="3">
        <v>44959</v>
      </c>
      <c r="E612">
        <v>3057.93</v>
      </c>
      <c r="F612" t="s">
        <v>815</v>
      </c>
      <c r="G612" t="s">
        <v>821</v>
      </c>
      <c r="H612" s="3">
        <v>44959</v>
      </c>
      <c r="I612" t="s">
        <v>822</v>
      </c>
      <c r="J612">
        <f t="shared" si="27"/>
        <v>0</v>
      </c>
      <c r="K612" t="str">
        <f t="shared" si="28"/>
        <v>On-Time</v>
      </c>
      <c r="L612">
        <f t="shared" ca="1" si="29"/>
        <v>1174</v>
      </c>
    </row>
    <row r="613" spans="1:12" x14ac:dyDescent="0.3">
      <c r="A613" t="s">
        <v>620</v>
      </c>
      <c r="B613" t="s">
        <v>811</v>
      </c>
      <c r="C613" s="3">
        <v>45495</v>
      </c>
      <c r="D613" s="3">
        <v>45525</v>
      </c>
      <c r="E613">
        <v>1043.05</v>
      </c>
      <c r="F613" t="s">
        <v>818</v>
      </c>
      <c r="G613" t="s">
        <v>820</v>
      </c>
      <c r="H613" s="3">
        <v>45527</v>
      </c>
      <c r="I613" t="s">
        <v>822</v>
      </c>
      <c r="J613">
        <f t="shared" si="27"/>
        <v>2</v>
      </c>
      <c r="K613" t="str">
        <f t="shared" si="28"/>
        <v>Late</v>
      </c>
      <c r="L613">
        <f t="shared" ca="1" si="29"/>
        <v>608</v>
      </c>
    </row>
    <row r="614" spans="1:12" x14ac:dyDescent="0.3">
      <c r="A614" t="s">
        <v>621</v>
      </c>
      <c r="B614" t="s">
        <v>812</v>
      </c>
      <c r="C614" s="3">
        <v>45401</v>
      </c>
      <c r="D614" s="3">
        <v>45431</v>
      </c>
      <c r="E614">
        <v>1216.7</v>
      </c>
      <c r="F614" t="s">
        <v>816</v>
      </c>
      <c r="G614" t="s">
        <v>819</v>
      </c>
      <c r="H614" s="3">
        <v>45439</v>
      </c>
      <c r="I614" t="s">
        <v>822</v>
      </c>
      <c r="J614">
        <f t="shared" si="27"/>
        <v>8</v>
      </c>
      <c r="K614" t="str">
        <f t="shared" si="28"/>
        <v>Pending</v>
      </c>
      <c r="L614">
        <f t="shared" ca="1" si="29"/>
        <v>702</v>
      </c>
    </row>
    <row r="615" spans="1:12" x14ac:dyDescent="0.3">
      <c r="A615" t="s">
        <v>622</v>
      </c>
      <c r="B615" t="s">
        <v>813</v>
      </c>
      <c r="C615" s="3">
        <v>45085</v>
      </c>
      <c r="D615" s="3">
        <v>45115</v>
      </c>
      <c r="E615">
        <v>1242.77</v>
      </c>
      <c r="F615" t="s">
        <v>818</v>
      </c>
      <c r="G615" t="s">
        <v>819</v>
      </c>
      <c r="H615" s="3">
        <v>45113</v>
      </c>
      <c r="I615" t="s">
        <v>822</v>
      </c>
      <c r="J615">
        <f t="shared" si="27"/>
        <v>-2</v>
      </c>
      <c r="K615" t="str">
        <f t="shared" si="28"/>
        <v>Pending</v>
      </c>
      <c r="L615">
        <f t="shared" ca="1" si="29"/>
        <v>1018</v>
      </c>
    </row>
    <row r="616" spans="1:12" x14ac:dyDescent="0.3">
      <c r="A616" t="s">
        <v>623</v>
      </c>
      <c r="B616" t="s">
        <v>812</v>
      </c>
      <c r="C616" s="3">
        <v>44943</v>
      </c>
      <c r="D616" s="3">
        <v>44973</v>
      </c>
      <c r="E616">
        <v>1253.18</v>
      </c>
      <c r="F616" t="s">
        <v>814</v>
      </c>
      <c r="G616" t="s">
        <v>819</v>
      </c>
      <c r="H616" s="3">
        <v>44971</v>
      </c>
      <c r="I616" t="s">
        <v>822</v>
      </c>
      <c r="J616">
        <f t="shared" si="27"/>
        <v>-2</v>
      </c>
      <c r="K616" t="str">
        <f t="shared" si="28"/>
        <v>Pending</v>
      </c>
      <c r="L616">
        <f t="shared" ca="1" si="29"/>
        <v>1160</v>
      </c>
    </row>
    <row r="617" spans="1:12" x14ac:dyDescent="0.3">
      <c r="A617" t="s">
        <v>624</v>
      </c>
      <c r="B617" t="s">
        <v>811</v>
      </c>
      <c r="C617" s="3">
        <v>45278</v>
      </c>
      <c r="D617" s="3">
        <v>45308</v>
      </c>
      <c r="E617">
        <v>1423.03</v>
      </c>
      <c r="F617" t="s">
        <v>816</v>
      </c>
      <c r="G617" t="s">
        <v>819</v>
      </c>
      <c r="H617" s="3">
        <v>45314</v>
      </c>
      <c r="I617" t="s">
        <v>822</v>
      </c>
      <c r="J617">
        <f t="shared" si="27"/>
        <v>6</v>
      </c>
      <c r="K617" t="str">
        <f t="shared" si="28"/>
        <v>Pending</v>
      </c>
      <c r="L617">
        <f t="shared" ca="1" si="29"/>
        <v>825</v>
      </c>
    </row>
    <row r="618" spans="1:12" x14ac:dyDescent="0.3">
      <c r="A618" t="s">
        <v>625</v>
      </c>
      <c r="B618" t="s">
        <v>812</v>
      </c>
      <c r="C618" s="3">
        <v>44940</v>
      </c>
      <c r="D618" s="3">
        <v>44970</v>
      </c>
      <c r="E618">
        <v>908.37</v>
      </c>
      <c r="F618" t="s">
        <v>814</v>
      </c>
      <c r="G618" t="s">
        <v>821</v>
      </c>
      <c r="H618" s="3">
        <v>44970</v>
      </c>
      <c r="I618" t="s">
        <v>822</v>
      </c>
      <c r="J618">
        <f t="shared" si="27"/>
        <v>0</v>
      </c>
      <c r="K618" t="str">
        <f t="shared" si="28"/>
        <v>On-Time</v>
      </c>
      <c r="L618">
        <f t="shared" ca="1" si="29"/>
        <v>1163</v>
      </c>
    </row>
    <row r="619" spans="1:12" x14ac:dyDescent="0.3">
      <c r="A619" t="s">
        <v>626</v>
      </c>
      <c r="B619" t="s">
        <v>809</v>
      </c>
      <c r="C619" s="3">
        <v>45607</v>
      </c>
      <c r="D619" s="3">
        <v>45637</v>
      </c>
      <c r="E619">
        <v>4103.24</v>
      </c>
      <c r="F619" t="s">
        <v>816</v>
      </c>
      <c r="G619" t="s">
        <v>819</v>
      </c>
      <c r="H619" s="3">
        <v>45641</v>
      </c>
      <c r="I619" t="s">
        <v>822</v>
      </c>
      <c r="J619">
        <f t="shared" si="27"/>
        <v>4</v>
      </c>
      <c r="K619" t="str">
        <f t="shared" si="28"/>
        <v>Pending</v>
      </c>
      <c r="L619">
        <f t="shared" ca="1" si="29"/>
        <v>496</v>
      </c>
    </row>
    <row r="620" spans="1:12" x14ac:dyDescent="0.3">
      <c r="A620" t="s">
        <v>627</v>
      </c>
      <c r="B620" t="s">
        <v>812</v>
      </c>
      <c r="C620" s="3">
        <v>45591</v>
      </c>
      <c r="D620" s="3">
        <v>45621</v>
      </c>
      <c r="E620">
        <v>2557.84</v>
      </c>
      <c r="F620" t="s">
        <v>816</v>
      </c>
      <c r="G620" t="s">
        <v>820</v>
      </c>
      <c r="H620" s="3">
        <v>45631</v>
      </c>
      <c r="I620" t="s">
        <v>822</v>
      </c>
      <c r="J620">
        <f t="shared" si="27"/>
        <v>10</v>
      </c>
      <c r="K620" t="str">
        <f t="shared" si="28"/>
        <v>Late</v>
      </c>
      <c r="L620">
        <f t="shared" ca="1" si="29"/>
        <v>512</v>
      </c>
    </row>
    <row r="621" spans="1:12" x14ac:dyDescent="0.3">
      <c r="A621" t="s">
        <v>628</v>
      </c>
      <c r="B621" t="s">
        <v>810</v>
      </c>
      <c r="C621" s="3">
        <v>44927</v>
      </c>
      <c r="D621" s="3">
        <v>44957</v>
      </c>
      <c r="E621">
        <v>4192.79</v>
      </c>
      <c r="F621" t="s">
        <v>818</v>
      </c>
      <c r="G621" t="s">
        <v>820</v>
      </c>
      <c r="H621" s="3">
        <v>44962</v>
      </c>
      <c r="I621" t="s">
        <v>822</v>
      </c>
      <c r="J621">
        <f t="shared" si="27"/>
        <v>5</v>
      </c>
      <c r="K621" t="str">
        <f t="shared" si="28"/>
        <v>Late</v>
      </c>
      <c r="L621">
        <f t="shared" ca="1" si="29"/>
        <v>1176</v>
      </c>
    </row>
    <row r="622" spans="1:12" x14ac:dyDescent="0.3">
      <c r="A622" t="s">
        <v>629</v>
      </c>
      <c r="B622" t="s">
        <v>811</v>
      </c>
      <c r="C622" s="3">
        <v>45605</v>
      </c>
      <c r="D622" s="3">
        <v>45635</v>
      </c>
      <c r="E622">
        <v>2144.7199999999998</v>
      </c>
      <c r="F622" t="s">
        <v>818</v>
      </c>
      <c r="G622" t="s">
        <v>820</v>
      </c>
      <c r="H622" s="3">
        <v>45633</v>
      </c>
      <c r="I622" t="s">
        <v>822</v>
      </c>
      <c r="J622">
        <f t="shared" si="27"/>
        <v>-2</v>
      </c>
      <c r="K622" t="str">
        <f t="shared" si="28"/>
        <v>On-Time</v>
      </c>
      <c r="L622">
        <f t="shared" ca="1" si="29"/>
        <v>498</v>
      </c>
    </row>
    <row r="623" spans="1:12" x14ac:dyDescent="0.3">
      <c r="A623" t="s">
        <v>630</v>
      </c>
      <c r="B623" t="s">
        <v>811</v>
      </c>
      <c r="C623" s="3">
        <v>45604</v>
      </c>
      <c r="D623" s="3">
        <v>45634</v>
      </c>
      <c r="E623">
        <v>669.43</v>
      </c>
      <c r="F623" t="s">
        <v>817</v>
      </c>
      <c r="G623" t="s">
        <v>819</v>
      </c>
      <c r="H623" s="3">
        <v>45636</v>
      </c>
      <c r="I623" t="s">
        <v>822</v>
      </c>
      <c r="J623">
        <f t="shared" si="27"/>
        <v>2</v>
      </c>
      <c r="K623" t="str">
        <f t="shared" si="28"/>
        <v>Pending</v>
      </c>
      <c r="L623">
        <f t="shared" ca="1" si="29"/>
        <v>499</v>
      </c>
    </row>
    <row r="624" spans="1:12" x14ac:dyDescent="0.3">
      <c r="A624" t="s">
        <v>631</v>
      </c>
      <c r="B624" t="s">
        <v>809</v>
      </c>
      <c r="C624" s="3">
        <v>45717</v>
      </c>
      <c r="D624" s="3">
        <v>45747</v>
      </c>
      <c r="E624">
        <v>2583.87</v>
      </c>
      <c r="F624" t="s">
        <v>818</v>
      </c>
      <c r="G624" t="s">
        <v>821</v>
      </c>
      <c r="H624" s="3">
        <v>45747</v>
      </c>
      <c r="I624" t="s">
        <v>822</v>
      </c>
      <c r="J624">
        <f t="shared" si="27"/>
        <v>0</v>
      </c>
      <c r="K624" t="str">
        <f t="shared" si="28"/>
        <v>On-Time</v>
      </c>
      <c r="L624">
        <f t="shared" ca="1" si="29"/>
        <v>386</v>
      </c>
    </row>
    <row r="625" spans="1:12" x14ac:dyDescent="0.3">
      <c r="A625" t="s">
        <v>632</v>
      </c>
      <c r="B625" t="s">
        <v>810</v>
      </c>
      <c r="C625" s="3">
        <v>45683</v>
      </c>
      <c r="D625" s="3">
        <v>45713</v>
      </c>
      <c r="E625">
        <v>2870.13</v>
      </c>
      <c r="F625" t="s">
        <v>816</v>
      </c>
      <c r="G625" t="s">
        <v>819</v>
      </c>
      <c r="H625" s="3">
        <v>45722</v>
      </c>
      <c r="I625" t="s">
        <v>822</v>
      </c>
      <c r="J625">
        <f t="shared" si="27"/>
        <v>9</v>
      </c>
      <c r="K625" t="str">
        <f t="shared" si="28"/>
        <v>Pending</v>
      </c>
      <c r="L625">
        <f t="shared" ca="1" si="29"/>
        <v>420</v>
      </c>
    </row>
    <row r="626" spans="1:12" x14ac:dyDescent="0.3">
      <c r="A626" t="s">
        <v>633</v>
      </c>
      <c r="B626" t="s">
        <v>812</v>
      </c>
      <c r="C626" s="3">
        <v>45748</v>
      </c>
      <c r="D626" s="3">
        <v>45778</v>
      </c>
      <c r="E626">
        <v>308.64</v>
      </c>
      <c r="F626" t="s">
        <v>815</v>
      </c>
      <c r="G626" t="s">
        <v>819</v>
      </c>
      <c r="H626" s="3">
        <v>45783</v>
      </c>
      <c r="I626" t="s">
        <v>822</v>
      </c>
      <c r="J626">
        <f t="shared" si="27"/>
        <v>5</v>
      </c>
      <c r="K626" t="str">
        <f t="shared" si="28"/>
        <v>Pending</v>
      </c>
      <c r="L626">
        <f t="shared" ca="1" si="29"/>
        <v>355</v>
      </c>
    </row>
    <row r="627" spans="1:12" x14ac:dyDescent="0.3">
      <c r="A627" t="s">
        <v>634</v>
      </c>
      <c r="B627" t="s">
        <v>810</v>
      </c>
      <c r="C627" s="3">
        <v>45542</v>
      </c>
      <c r="D627" s="3">
        <v>45572</v>
      </c>
      <c r="E627">
        <v>754.61</v>
      </c>
      <c r="F627" t="s">
        <v>817</v>
      </c>
      <c r="G627" t="s">
        <v>821</v>
      </c>
      <c r="H627" s="3">
        <v>45572</v>
      </c>
      <c r="I627" t="s">
        <v>822</v>
      </c>
      <c r="J627">
        <f t="shared" si="27"/>
        <v>0</v>
      </c>
      <c r="K627" t="str">
        <f t="shared" si="28"/>
        <v>On-Time</v>
      </c>
      <c r="L627">
        <f t="shared" ca="1" si="29"/>
        <v>561</v>
      </c>
    </row>
    <row r="628" spans="1:12" x14ac:dyDescent="0.3">
      <c r="A628" t="s">
        <v>635</v>
      </c>
      <c r="B628" t="s">
        <v>812</v>
      </c>
      <c r="C628" s="3">
        <v>45799</v>
      </c>
      <c r="D628" s="3">
        <v>45829</v>
      </c>
      <c r="E628">
        <v>1564.86</v>
      </c>
      <c r="F628" t="s">
        <v>814</v>
      </c>
      <c r="G628" t="s">
        <v>819</v>
      </c>
      <c r="H628" s="3">
        <v>45832</v>
      </c>
      <c r="I628" t="s">
        <v>822</v>
      </c>
      <c r="J628">
        <f t="shared" si="27"/>
        <v>3</v>
      </c>
      <c r="K628" t="str">
        <f t="shared" si="28"/>
        <v>Pending</v>
      </c>
      <c r="L628">
        <f t="shared" ca="1" si="29"/>
        <v>304</v>
      </c>
    </row>
    <row r="629" spans="1:12" x14ac:dyDescent="0.3">
      <c r="A629" t="s">
        <v>636</v>
      </c>
      <c r="B629" t="s">
        <v>810</v>
      </c>
      <c r="C629" s="3">
        <v>44941</v>
      </c>
      <c r="D629" s="3">
        <v>44971</v>
      </c>
      <c r="E629">
        <v>2205.11</v>
      </c>
      <c r="F629" t="s">
        <v>816</v>
      </c>
      <c r="G629" t="s">
        <v>820</v>
      </c>
      <c r="H629" s="3">
        <v>44970</v>
      </c>
      <c r="I629" t="s">
        <v>822</v>
      </c>
      <c r="J629">
        <f t="shared" si="27"/>
        <v>-1</v>
      </c>
      <c r="K629" t="str">
        <f t="shared" si="28"/>
        <v>On-Time</v>
      </c>
      <c r="L629">
        <f t="shared" ca="1" si="29"/>
        <v>1162</v>
      </c>
    </row>
    <row r="630" spans="1:12" x14ac:dyDescent="0.3">
      <c r="A630" t="s">
        <v>637</v>
      </c>
      <c r="B630" t="s">
        <v>812</v>
      </c>
      <c r="C630" s="3">
        <v>45421</v>
      </c>
      <c r="D630" s="3">
        <v>45451</v>
      </c>
      <c r="E630">
        <v>562.79999999999995</v>
      </c>
      <c r="F630" t="s">
        <v>816</v>
      </c>
      <c r="G630" t="s">
        <v>820</v>
      </c>
      <c r="H630" s="3">
        <v>45458</v>
      </c>
      <c r="I630" t="s">
        <v>822</v>
      </c>
      <c r="J630">
        <f t="shared" si="27"/>
        <v>7</v>
      </c>
      <c r="K630" t="str">
        <f t="shared" si="28"/>
        <v>Late</v>
      </c>
      <c r="L630">
        <f t="shared" ca="1" si="29"/>
        <v>682</v>
      </c>
    </row>
    <row r="631" spans="1:12" x14ac:dyDescent="0.3">
      <c r="A631" t="s">
        <v>638</v>
      </c>
      <c r="B631" t="s">
        <v>809</v>
      </c>
      <c r="C631" s="3">
        <v>44987</v>
      </c>
      <c r="D631" s="3">
        <v>45017</v>
      </c>
      <c r="E631">
        <v>3911.54</v>
      </c>
      <c r="F631" t="s">
        <v>817</v>
      </c>
      <c r="G631" t="s">
        <v>820</v>
      </c>
      <c r="H631" s="3">
        <v>45020</v>
      </c>
      <c r="I631" t="s">
        <v>822</v>
      </c>
      <c r="J631">
        <f t="shared" si="27"/>
        <v>3</v>
      </c>
      <c r="K631" t="str">
        <f t="shared" si="28"/>
        <v>Late</v>
      </c>
      <c r="L631">
        <f t="shared" ca="1" si="29"/>
        <v>1116</v>
      </c>
    </row>
    <row r="632" spans="1:12" x14ac:dyDescent="0.3">
      <c r="A632" t="s">
        <v>639</v>
      </c>
      <c r="B632" t="s">
        <v>813</v>
      </c>
      <c r="C632" s="3">
        <v>45836</v>
      </c>
      <c r="D632" s="3">
        <v>45866</v>
      </c>
      <c r="E632">
        <v>3891.61</v>
      </c>
      <c r="F632" t="s">
        <v>815</v>
      </c>
      <c r="G632" t="s">
        <v>820</v>
      </c>
      <c r="H632" s="3">
        <v>45863</v>
      </c>
      <c r="I632" t="s">
        <v>822</v>
      </c>
      <c r="J632">
        <f t="shared" si="27"/>
        <v>-3</v>
      </c>
      <c r="K632" t="str">
        <f t="shared" si="28"/>
        <v>On-Time</v>
      </c>
      <c r="L632">
        <f t="shared" ca="1" si="29"/>
        <v>267</v>
      </c>
    </row>
    <row r="633" spans="1:12" x14ac:dyDescent="0.3">
      <c r="A633" t="s">
        <v>640</v>
      </c>
      <c r="B633" t="s">
        <v>811</v>
      </c>
      <c r="C633" s="3">
        <v>44972</v>
      </c>
      <c r="D633" s="3">
        <v>45002</v>
      </c>
      <c r="E633">
        <v>2302.46</v>
      </c>
      <c r="F633" t="s">
        <v>816</v>
      </c>
      <c r="G633" t="s">
        <v>819</v>
      </c>
      <c r="H633" s="3">
        <v>45001</v>
      </c>
      <c r="I633" t="s">
        <v>822</v>
      </c>
      <c r="J633">
        <f t="shared" si="27"/>
        <v>-1</v>
      </c>
      <c r="K633" t="str">
        <f t="shared" si="28"/>
        <v>Pending</v>
      </c>
      <c r="L633">
        <f t="shared" ca="1" si="29"/>
        <v>1131</v>
      </c>
    </row>
    <row r="634" spans="1:12" x14ac:dyDescent="0.3">
      <c r="A634" t="s">
        <v>641</v>
      </c>
      <c r="B634" t="s">
        <v>812</v>
      </c>
      <c r="C634" s="3">
        <v>45388</v>
      </c>
      <c r="D634" s="3">
        <v>45418</v>
      </c>
      <c r="E634">
        <v>3723.61</v>
      </c>
      <c r="F634" t="s">
        <v>817</v>
      </c>
      <c r="G634" t="s">
        <v>819</v>
      </c>
      <c r="H634" s="3">
        <v>45418</v>
      </c>
      <c r="I634" t="s">
        <v>822</v>
      </c>
      <c r="J634">
        <f t="shared" si="27"/>
        <v>0</v>
      </c>
      <c r="K634" t="str">
        <f t="shared" si="28"/>
        <v>Pending</v>
      </c>
      <c r="L634">
        <f t="shared" ca="1" si="29"/>
        <v>715</v>
      </c>
    </row>
    <row r="635" spans="1:12" x14ac:dyDescent="0.3">
      <c r="A635" t="s">
        <v>642</v>
      </c>
      <c r="B635" t="s">
        <v>809</v>
      </c>
      <c r="C635" s="3">
        <v>45348</v>
      </c>
      <c r="D635" s="3">
        <v>45378</v>
      </c>
      <c r="E635">
        <v>2892.87</v>
      </c>
      <c r="F635" t="s">
        <v>814</v>
      </c>
      <c r="G635" t="s">
        <v>819</v>
      </c>
      <c r="H635" s="3">
        <v>45382</v>
      </c>
      <c r="I635" t="s">
        <v>822</v>
      </c>
      <c r="J635">
        <f t="shared" si="27"/>
        <v>4</v>
      </c>
      <c r="K635" t="str">
        <f t="shared" si="28"/>
        <v>Pending</v>
      </c>
      <c r="L635">
        <f t="shared" ca="1" si="29"/>
        <v>755</v>
      </c>
    </row>
    <row r="636" spans="1:12" x14ac:dyDescent="0.3">
      <c r="A636" t="s">
        <v>643</v>
      </c>
      <c r="B636" t="s">
        <v>811</v>
      </c>
      <c r="C636" s="3">
        <v>45650</v>
      </c>
      <c r="D636" s="3">
        <v>45680</v>
      </c>
      <c r="E636">
        <v>2261.7399999999998</v>
      </c>
      <c r="F636" t="s">
        <v>816</v>
      </c>
      <c r="G636" t="s">
        <v>819</v>
      </c>
      <c r="H636" s="3">
        <v>45681</v>
      </c>
      <c r="I636" t="s">
        <v>822</v>
      </c>
      <c r="J636">
        <f t="shared" si="27"/>
        <v>1</v>
      </c>
      <c r="K636" t="str">
        <f t="shared" si="28"/>
        <v>Pending</v>
      </c>
      <c r="L636">
        <f t="shared" ca="1" si="29"/>
        <v>453</v>
      </c>
    </row>
    <row r="637" spans="1:12" x14ac:dyDescent="0.3">
      <c r="A637" t="s">
        <v>644</v>
      </c>
      <c r="B637" t="s">
        <v>812</v>
      </c>
      <c r="C637" s="3">
        <v>45361</v>
      </c>
      <c r="D637" s="3">
        <v>45391</v>
      </c>
      <c r="E637">
        <v>3900.62</v>
      </c>
      <c r="F637" t="s">
        <v>818</v>
      </c>
      <c r="G637" t="s">
        <v>820</v>
      </c>
      <c r="H637" s="3">
        <v>45391</v>
      </c>
      <c r="I637" t="s">
        <v>822</v>
      </c>
      <c r="J637">
        <f t="shared" si="27"/>
        <v>0</v>
      </c>
      <c r="K637" t="str">
        <f t="shared" si="28"/>
        <v>On-Time</v>
      </c>
      <c r="L637">
        <f t="shared" ca="1" si="29"/>
        <v>742</v>
      </c>
    </row>
    <row r="638" spans="1:12" x14ac:dyDescent="0.3">
      <c r="A638" t="s">
        <v>645</v>
      </c>
      <c r="B638" t="s">
        <v>812</v>
      </c>
      <c r="C638" s="3">
        <v>45419</v>
      </c>
      <c r="D638" s="3">
        <v>45449</v>
      </c>
      <c r="E638">
        <v>4377.2</v>
      </c>
      <c r="F638" t="s">
        <v>816</v>
      </c>
      <c r="G638" t="s">
        <v>819</v>
      </c>
      <c r="H638" s="3">
        <v>45450</v>
      </c>
      <c r="I638" t="s">
        <v>822</v>
      </c>
      <c r="J638">
        <f t="shared" si="27"/>
        <v>1</v>
      </c>
      <c r="K638" t="str">
        <f t="shared" si="28"/>
        <v>Pending</v>
      </c>
      <c r="L638">
        <f t="shared" ca="1" si="29"/>
        <v>684</v>
      </c>
    </row>
    <row r="639" spans="1:12" x14ac:dyDescent="0.3">
      <c r="A639" t="s">
        <v>646</v>
      </c>
      <c r="B639" t="s">
        <v>813</v>
      </c>
      <c r="C639" s="3">
        <v>45670</v>
      </c>
      <c r="D639" s="3">
        <v>45700</v>
      </c>
      <c r="E639">
        <v>4656.51</v>
      </c>
      <c r="F639" t="s">
        <v>818</v>
      </c>
      <c r="G639" t="s">
        <v>821</v>
      </c>
      <c r="H639" s="3">
        <v>45700</v>
      </c>
      <c r="I639" t="s">
        <v>822</v>
      </c>
      <c r="J639">
        <f t="shared" si="27"/>
        <v>0</v>
      </c>
      <c r="K639" t="str">
        <f t="shared" si="28"/>
        <v>On-Time</v>
      </c>
      <c r="L639">
        <f t="shared" ca="1" si="29"/>
        <v>433</v>
      </c>
    </row>
    <row r="640" spans="1:12" x14ac:dyDescent="0.3">
      <c r="A640" t="s">
        <v>647</v>
      </c>
      <c r="B640" t="s">
        <v>811</v>
      </c>
      <c r="C640" s="3">
        <v>45704</v>
      </c>
      <c r="D640" s="3">
        <v>45734</v>
      </c>
      <c r="E640">
        <v>4576.1099999999997</v>
      </c>
      <c r="F640" t="s">
        <v>817</v>
      </c>
      <c r="G640" t="s">
        <v>819</v>
      </c>
      <c r="H640" s="3">
        <v>45737</v>
      </c>
      <c r="I640" t="s">
        <v>822</v>
      </c>
      <c r="J640">
        <f t="shared" si="27"/>
        <v>3</v>
      </c>
      <c r="K640" t="str">
        <f t="shared" si="28"/>
        <v>Pending</v>
      </c>
      <c r="L640">
        <f t="shared" ca="1" si="29"/>
        <v>399</v>
      </c>
    </row>
    <row r="641" spans="1:12" x14ac:dyDescent="0.3">
      <c r="A641" t="s">
        <v>648</v>
      </c>
      <c r="B641" t="s">
        <v>812</v>
      </c>
      <c r="C641" s="3">
        <v>45781</v>
      </c>
      <c r="D641" s="3">
        <v>45811</v>
      </c>
      <c r="E641">
        <v>1039.52</v>
      </c>
      <c r="F641" t="s">
        <v>814</v>
      </c>
      <c r="G641" t="s">
        <v>820</v>
      </c>
      <c r="H641" s="3">
        <v>45810</v>
      </c>
      <c r="I641" t="s">
        <v>822</v>
      </c>
      <c r="J641">
        <f t="shared" si="27"/>
        <v>-1</v>
      </c>
      <c r="K641" t="str">
        <f t="shared" si="28"/>
        <v>On-Time</v>
      </c>
      <c r="L641">
        <f t="shared" ca="1" si="29"/>
        <v>322</v>
      </c>
    </row>
    <row r="642" spans="1:12" x14ac:dyDescent="0.3">
      <c r="A642" t="s">
        <v>649</v>
      </c>
      <c r="B642" t="s">
        <v>813</v>
      </c>
      <c r="C642" s="3">
        <v>45171</v>
      </c>
      <c r="D642" s="3">
        <v>45201</v>
      </c>
      <c r="E642">
        <v>179.18</v>
      </c>
      <c r="F642" t="s">
        <v>816</v>
      </c>
      <c r="G642" t="s">
        <v>821</v>
      </c>
      <c r="H642" s="3">
        <v>45201</v>
      </c>
      <c r="I642" t="s">
        <v>822</v>
      </c>
      <c r="J642">
        <f t="shared" si="27"/>
        <v>0</v>
      </c>
      <c r="K642" t="str">
        <f t="shared" si="28"/>
        <v>On-Time</v>
      </c>
      <c r="L642">
        <f t="shared" ca="1" si="29"/>
        <v>932</v>
      </c>
    </row>
    <row r="643" spans="1:12" x14ac:dyDescent="0.3">
      <c r="A643" t="s">
        <v>650</v>
      </c>
      <c r="B643" t="s">
        <v>811</v>
      </c>
      <c r="C643" s="3">
        <v>45235</v>
      </c>
      <c r="D643" s="3">
        <v>45265</v>
      </c>
      <c r="E643">
        <v>2198.02</v>
      </c>
      <c r="F643" t="s">
        <v>818</v>
      </c>
      <c r="G643" t="s">
        <v>821</v>
      </c>
      <c r="H643" s="3">
        <v>45265</v>
      </c>
      <c r="I643" t="s">
        <v>822</v>
      </c>
      <c r="J643">
        <f t="shared" ref="J643:J706" si="30">IF(H643="",0,H643-D643)</f>
        <v>0</v>
      </c>
      <c r="K643" t="str">
        <f t="shared" ref="K643:K706" si="31">IF(G643="Open","Pending",IF(H643&lt;=D643,"On-Time","Late"))</f>
        <v>On-Time</v>
      </c>
      <c r="L643">
        <f t="shared" ref="L643:L706" ca="1" si="32">TODAY()-C643</f>
        <v>868</v>
      </c>
    </row>
    <row r="644" spans="1:12" x14ac:dyDescent="0.3">
      <c r="A644" t="s">
        <v>651</v>
      </c>
      <c r="B644" t="s">
        <v>810</v>
      </c>
      <c r="C644" s="3">
        <v>45362</v>
      </c>
      <c r="D644" s="3">
        <v>45392</v>
      </c>
      <c r="E644">
        <v>3150.23</v>
      </c>
      <c r="F644" t="s">
        <v>818</v>
      </c>
      <c r="G644" t="s">
        <v>820</v>
      </c>
      <c r="H644" s="3">
        <v>45390</v>
      </c>
      <c r="I644" t="s">
        <v>822</v>
      </c>
      <c r="J644">
        <f t="shared" si="30"/>
        <v>-2</v>
      </c>
      <c r="K644" t="str">
        <f t="shared" si="31"/>
        <v>On-Time</v>
      </c>
      <c r="L644">
        <f t="shared" ca="1" si="32"/>
        <v>741</v>
      </c>
    </row>
    <row r="645" spans="1:12" x14ac:dyDescent="0.3">
      <c r="A645" t="s">
        <v>652</v>
      </c>
      <c r="B645" t="s">
        <v>810</v>
      </c>
      <c r="C645" s="3">
        <v>45236</v>
      </c>
      <c r="D645" s="3">
        <v>45266</v>
      </c>
      <c r="E645">
        <v>4973.37</v>
      </c>
      <c r="F645" t="s">
        <v>818</v>
      </c>
      <c r="G645" t="s">
        <v>820</v>
      </c>
      <c r="H645" s="3">
        <v>45263</v>
      </c>
      <c r="I645" t="s">
        <v>822</v>
      </c>
      <c r="J645">
        <f t="shared" si="30"/>
        <v>-3</v>
      </c>
      <c r="K645" t="str">
        <f t="shared" si="31"/>
        <v>On-Time</v>
      </c>
      <c r="L645">
        <f t="shared" ca="1" si="32"/>
        <v>867</v>
      </c>
    </row>
    <row r="646" spans="1:12" x14ac:dyDescent="0.3">
      <c r="A646" t="s">
        <v>653</v>
      </c>
      <c r="B646" t="s">
        <v>811</v>
      </c>
      <c r="C646" s="3">
        <v>45757</v>
      </c>
      <c r="D646" s="3">
        <v>45787</v>
      </c>
      <c r="E646">
        <v>4507.3999999999996</v>
      </c>
      <c r="F646" t="s">
        <v>815</v>
      </c>
      <c r="G646" t="s">
        <v>821</v>
      </c>
      <c r="H646" s="3">
        <v>45787</v>
      </c>
      <c r="I646" t="s">
        <v>822</v>
      </c>
      <c r="J646">
        <f t="shared" si="30"/>
        <v>0</v>
      </c>
      <c r="K646" t="str">
        <f t="shared" si="31"/>
        <v>On-Time</v>
      </c>
      <c r="L646">
        <f t="shared" ca="1" si="32"/>
        <v>346</v>
      </c>
    </row>
    <row r="647" spans="1:12" x14ac:dyDescent="0.3">
      <c r="A647" t="s">
        <v>654</v>
      </c>
      <c r="B647" t="s">
        <v>809</v>
      </c>
      <c r="C647" s="3">
        <v>45125</v>
      </c>
      <c r="D647" s="3">
        <v>45155</v>
      </c>
      <c r="E647">
        <v>2432.37</v>
      </c>
      <c r="F647" t="s">
        <v>816</v>
      </c>
      <c r="G647" t="s">
        <v>820</v>
      </c>
      <c r="H647" s="3">
        <v>45163</v>
      </c>
      <c r="I647" t="s">
        <v>822</v>
      </c>
      <c r="J647">
        <f t="shared" si="30"/>
        <v>8</v>
      </c>
      <c r="K647" t="str">
        <f t="shared" si="31"/>
        <v>Late</v>
      </c>
      <c r="L647">
        <f t="shared" ca="1" si="32"/>
        <v>978</v>
      </c>
    </row>
    <row r="648" spans="1:12" x14ac:dyDescent="0.3">
      <c r="A648" t="s">
        <v>655</v>
      </c>
      <c r="B648" t="s">
        <v>812</v>
      </c>
      <c r="C648" s="3">
        <v>45171</v>
      </c>
      <c r="D648" s="3">
        <v>45201</v>
      </c>
      <c r="E648">
        <v>3421.02</v>
      </c>
      <c r="F648" t="s">
        <v>818</v>
      </c>
      <c r="G648" t="s">
        <v>819</v>
      </c>
      <c r="H648" s="3">
        <v>45206</v>
      </c>
      <c r="I648" t="s">
        <v>822</v>
      </c>
      <c r="J648">
        <f t="shared" si="30"/>
        <v>5</v>
      </c>
      <c r="K648" t="str">
        <f t="shared" si="31"/>
        <v>Pending</v>
      </c>
      <c r="L648">
        <f t="shared" ca="1" si="32"/>
        <v>932</v>
      </c>
    </row>
    <row r="649" spans="1:12" x14ac:dyDescent="0.3">
      <c r="A649" t="s">
        <v>656</v>
      </c>
      <c r="B649" t="s">
        <v>812</v>
      </c>
      <c r="C649" s="3">
        <v>45146</v>
      </c>
      <c r="D649" s="3">
        <v>45176</v>
      </c>
      <c r="E649">
        <v>223.05</v>
      </c>
      <c r="F649" t="s">
        <v>816</v>
      </c>
      <c r="G649" t="s">
        <v>821</v>
      </c>
      <c r="H649" s="3">
        <v>45176</v>
      </c>
      <c r="I649" t="s">
        <v>822</v>
      </c>
      <c r="J649">
        <f t="shared" si="30"/>
        <v>0</v>
      </c>
      <c r="K649" t="str">
        <f t="shared" si="31"/>
        <v>On-Time</v>
      </c>
      <c r="L649">
        <f t="shared" ca="1" si="32"/>
        <v>957</v>
      </c>
    </row>
    <row r="650" spans="1:12" x14ac:dyDescent="0.3">
      <c r="A650" t="s">
        <v>657</v>
      </c>
      <c r="B650" t="s">
        <v>809</v>
      </c>
      <c r="C650" s="3">
        <v>45455</v>
      </c>
      <c r="D650" s="3">
        <v>45485</v>
      </c>
      <c r="E650">
        <v>599.71</v>
      </c>
      <c r="F650" t="s">
        <v>817</v>
      </c>
      <c r="G650" t="s">
        <v>819</v>
      </c>
      <c r="H650" s="3">
        <v>45486</v>
      </c>
      <c r="I650" t="s">
        <v>822</v>
      </c>
      <c r="J650">
        <f t="shared" si="30"/>
        <v>1</v>
      </c>
      <c r="K650" t="str">
        <f t="shared" si="31"/>
        <v>Pending</v>
      </c>
      <c r="L650">
        <f t="shared" ca="1" si="32"/>
        <v>648</v>
      </c>
    </row>
    <row r="651" spans="1:12" x14ac:dyDescent="0.3">
      <c r="A651" t="s">
        <v>658</v>
      </c>
      <c r="B651" t="s">
        <v>809</v>
      </c>
      <c r="C651" s="3">
        <v>45029</v>
      </c>
      <c r="D651" s="3">
        <v>45059</v>
      </c>
      <c r="E651">
        <v>4739.08</v>
      </c>
      <c r="F651" t="s">
        <v>814</v>
      </c>
      <c r="G651" t="s">
        <v>820</v>
      </c>
      <c r="H651" s="3">
        <v>45067</v>
      </c>
      <c r="I651" t="s">
        <v>822</v>
      </c>
      <c r="J651">
        <f t="shared" si="30"/>
        <v>8</v>
      </c>
      <c r="K651" t="str">
        <f t="shared" si="31"/>
        <v>Late</v>
      </c>
      <c r="L651">
        <f t="shared" ca="1" si="32"/>
        <v>1074</v>
      </c>
    </row>
    <row r="652" spans="1:12" x14ac:dyDescent="0.3">
      <c r="A652" t="s">
        <v>659</v>
      </c>
      <c r="B652" t="s">
        <v>811</v>
      </c>
      <c r="C652" s="3">
        <v>45609</v>
      </c>
      <c r="D652" s="3">
        <v>45639</v>
      </c>
      <c r="E652">
        <v>332.35</v>
      </c>
      <c r="F652" t="s">
        <v>818</v>
      </c>
      <c r="G652" t="s">
        <v>820</v>
      </c>
      <c r="H652" s="3">
        <v>45645</v>
      </c>
      <c r="I652" t="s">
        <v>822</v>
      </c>
      <c r="J652">
        <f t="shared" si="30"/>
        <v>6</v>
      </c>
      <c r="K652" t="str">
        <f t="shared" si="31"/>
        <v>Late</v>
      </c>
      <c r="L652">
        <f t="shared" ca="1" si="32"/>
        <v>494</v>
      </c>
    </row>
    <row r="653" spans="1:12" x14ac:dyDescent="0.3">
      <c r="A653" t="s">
        <v>660</v>
      </c>
      <c r="B653" t="s">
        <v>809</v>
      </c>
      <c r="C653" s="3">
        <v>45475</v>
      </c>
      <c r="D653" s="3">
        <v>45505</v>
      </c>
      <c r="E653">
        <v>4746.3999999999996</v>
      </c>
      <c r="F653" t="s">
        <v>817</v>
      </c>
      <c r="G653" t="s">
        <v>821</v>
      </c>
      <c r="H653" s="3">
        <v>45505</v>
      </c>
      <c r="I653" t="s">
        <v>822</v>
      </c>
      <c r="J653">
        <f t="shared" si="30"/>
        <v>0</v>
      </c>
      <c r="K653" t="str">
        <f t="shared" si="31"/>
        <v>On-Time</v>
      </c>
      <c r="L653">
        <f t="shared" ca="1" si="32"/>
        <v>628</v>
      </c>
    </row>
    <row r="654" spans="1:12" x14ac:dyDescent="0.3">
      <c r="A654" t="s">
        <v>661</v>
      </c>
      <c r="B654" t="s">
        <v>811</v>
      </c>
      <c r="C654" s="3">
        <v>45113</v>
      </c>
      <c r="D654" s="3">
        <v>45143</v>
      </c>
      <c r="E654">
        <v>4124.6000000000004</v>
      </c>
      <c r="F654" t="s">
        <v>816</v>
      </c>
      <c r="G654" t="s">
        <v>819</v>
      </c>
      <c r="H654" s="3">
        <v>45149</v>
      </c>
      <c r="I654" t="s">
        <v>822</v>
      </c>
      <c r="J654">
        <f t="shared" si="30"/>
        <v>6</v>
      </c>
      <c r="K654" t="str">
        <f t="shared" si="31"/>
        <v>Pending</v>
      </c>
      <c r="L654">
        <f t="shared" ca="1" si="32"/>
        <v>990</v>
      </c>
    </row>
    <row r="655" spans="1:12" x14ac:dyDescent="0.3">
      <c r="A655" t="s">
        <v>662</v>
      </c>
      <c r="B655" t="s">
        <v>813</v>
      </c>
      <c r="C655" s="3">
        <v>45083</v>
      </c>
      <c r="D655" s="3">
        <v>45113</v>
      </c>
      <c r="E655">
        <v>1630.69</v>
      </c>
      <c r="F655" t="s">
        <v>816</v>
      </c>
      <c r="G655" t="s">
        <v>821</v>
      </c>
      <c r="H655" s="3">
        <v>45113</v>
      </c>
      <c r="I655" t="s">
        <v>822</v>
      </c>
      <c r="J655">
        <f t="shared" si="30"/>
        <v>0</v>
      </c>
      <c r="K655" t="str">
        <f t="shared" si="31"/>
        <v>On-Time</v>
      </c>
      <c r="L655">
        <f t="shared" ca="1" si="32"/>
        <v>1020</v>
      </c>
    </row>
    <row r="656" spans="1:12" x14ac:dyDescent="0.3">
      <c r="A656" t="s">
        <v>663</v>
      </c>
      <c r="B656" t="s">
        <v>812</v>
      </c>
      <c r="C656" s="3">
        <v>45549</v>
      </c>
      <c r="D656" s="3">
        <v>45579</v>
      </c>
      <c r="E656">
        <v>4643.99</v>
      </c>
      <c r="F656" t="s">
        <v>816</v>
      </c>
      <c r="G656" t="s">
        <v>820</v>
      </c>
      <c r="H656" s="3">
        <v>45589</v>
      </c>
      <c r="I656" t="s">
        <v>822</v>
      </c>
      <c r="J656">
        <f t="shared" si="30"/>
        <v>10</v>
      </c>
      <c r="K656" t="str">
        <f t="shared" si="31"/>
        <v>Late</v>
      </c>
      <c r="L656">
        <f t="shared" ca="1" si="32"/>
        <v>554</v>
      </c>
    </row>
    <row r="657" spans="1:12" x14ac:dyDescent="0.3">
      <c r="A657" t="s">
        <v>664</v>
      </c>
      <c r="B657" t="s">
        <v>810</v>
      </c>
      <c r="C657" s="3">
        <v>45198</v>
      </c>
      <c r="D657" s="3">
        <v>45228</v>
      </c>
      <c r="E657">
        <v>121.66</v>
      </c>
      <c r="F657" t="s">
        <v>815</v>
      </c>
      <c r="G657" t="s">
        <v>819</v>
      </c>
      <c r="H657" s="3">
        <v>45237</v>
      </c>
      <c r="I657" t="s">
        <v>822</v>
      </c>
      <c r="J657">
        <f t="shared" si="30"/>
        <v>9</v>
      </c>
      <c r="K657" t="str">
        <f t="shared" si="31"/>
        <v>Pending</v>
      </c>
      <c r="L657">
        <f t="shared" ca="1" si="32"/>
        <v>905</v>
      </c>
    </row>
    <row r="658" spans="1:12" x14ac:dyDescent="0.3">
      <c r="A658" t="s">
        <v>665</v>
      </c>
      <c r="B658" t="s">
        <v>811</v>
      </c>
      <c r="C658" s="3">
        <v>45111</v>
      </c>
      <c r="D658" s="3">
        <v>45141</v>
      </c>
      <c r="E658">
        <v>2464.2399999999998</v>
      </c>
      <c r="F658" t="s">
        <v>817</v>
      </c>
      <c r="G658" t="s">
        <v>820</v>
      </c>
      <c r="H658" s="3">
        <v>45143</v>
      </c>
      <c r="I658" t="s">
        <v>822</v>
      </c>
      <c r="J658">
        <f t="shared" si="30"/>
        <v>2</v>
      </c>
      <c r="K658" t="str">
        <f t="shared" si="31"/>
        <v>Late</v>
      </c>
      <c r="L658">
        <f t="shared" ca="1" si="32"/>
        <v>992</v>
      </c>
    </row>
    <row r="659" spans="1:12" x14ac:dyDescent="0.3">
      <c r="A659" t="s">
        <v>666</v>
      </c>
      <c r="B659" t="s">
        <v>813</v>
      </c>
      <c r="C659" s="3">
        <v>45271</v>
      </c>
      <c r="D659" s="3">
        <v>45301</v>
      </c>
      <c r="E659">
        <v>4354.51</v>
      </c>
      <c r="F659" t="s">
        <v>816</v>
      </c>
      <c r="G659" t="s">
        <v>820</v>
      </c>
      <c r="H659" s="3">
        <v>45303</v>
      </c>
      <c r="I659" t="s">
        <v>822</v>
      </c>
      <c r="J659">
        <f t="shared" si="30"/>
        <v>2</v>
      </c>
      <c r="K659" t="str">
        <f t="shared" si="31"/>
        <v>Late</v>
      </c>
      <c r="L659">
        <f t="shared" ca="1" si="32"/>
        <v>832</v>
      </c>
    </row>
    <row r="660" spans="1:12" x14ac:dyDescent="0.3">
      <c r="A660" t="s">
        <v>667</v>
      </c>
      <c r="B660" t="s">
        <v>813</v>
      </c>
      <c r="C660" s="3">
        <v>45273</v>
      </c>
      <c r="D660" s="3">
        <v>45303</v>
      </c>
      <c r="E660">
        <v>1809.68</v>
      </c>
      <c r="F660" t="s">
        <v>817</v>
      </c>
      <c r="G660" t="s">
        <v>820</v>
      </c>
      <c r="H660" s="3">
        <v>45313</v>
      </c>
      <c r="I660" t="s">
        <v>822</v>
      </c>
      <c r="J660">
        <f t="shared" si="30"/>
        <v>10</v>
      </c>
      <c r="K660" t="str">
        <f t="shared" si="31"/>
        <v>Late</v>
      </c>
      <c r="L660">
        <f t="shared" ca="1" si="32"/>
        <v>830</v>
      </c>
    </row>
    <row r="661" spans="1:12" x14ac:dyDescent="0.3">
      <c r="A661" t="s">
        <v>668</v>
      </c>
      <c r="B661" t="s">
        <v>813</v>
      </c>
      <c r="C661" s="3">
        <v>45588</v>
      </c>
      <c r="D661" s="3">
        <v>45618</v>
      </c>
      <c r="E661">
        <v>4448.67</v>
      </c>
      <c r="F661" t="s">
        <v>817</v>
      </c>
      <c r="G661" t="s">
        <v>819</v>
      </c>
      <c r="H661" s="3">
        <v>45622</v>
      </c>
      <c r="I661" t="s">
        <v>822</v>
      </c>
      <c r="J661">
        <f t="shared" si="30"/>
        <v>4</v>
      </c>
      <c r="K661" t="str">
        <f t="shared" si="31"/>
        <v>Pending</v>
      </c>
      <c r="L661">
        <f t="shared" ca="1" si="32"/>
        <v>515</v>
      </c>
    </row>
    <row r="662" spans="1:12" x14ac:dyDescent="0.3">
      <c r="A662" t="s">
        <v>669</v>
      </c>
      <c r="B662" t="s">
        <v>810</v>
      </c>
      <c r="C662" s="3">
        <v>45810</v>
      </c>
      <c r="D662" s="3">
        <v>45840</v>
      </c>
      <c r="E662">
        <v>3810.59</v>
      </c>
      <c r="F662" t="s">
        <v>815</v>
      </c>
      <c r="G662" t="s">
        <v>821</v>
      </c>
      <c r="H662" s="3">
        <v>45840</v>
      </c>
      <c r="I662" t="s">
        <v>822</v>
      </c>
      <c r="J662">
        <f t="shared" si="30"/>
        <v>0</v>
      </c>
      <c r="K662" t="str">
        <f t="shared" si="31"/>
        <v>On-Time</v>
      </c>
      <c r="L662">
        <f t="shared" ca="1" si="32"/>
        <v>293</v>
      </c>
    </row>
    <row r="663" spans="1:12" x14ac:dyDescent="0.3">
      <c r="A663" t="s">
        <v>670</v>
      </c>
      <c r="B663" t="s">
        <v>813</v>
      </c>
      <c r="C663" s="3">
        <v>45433</v>
      </c>
      <c r="D663" s="3">
        <v>45463</v>
      </c>
      <c r="E663">
        <v>4234.42</v>
      </c>
      <c r="F663" t="s">
        <v>818</v>
      </c>
      <c r="G663" t="s">
        <v>819</v>
      </c>
      <c r="H663" s="3">
        <v>45467</v>
      </c>
      <c r="I663" t="s">
        <v>822</v>
      </c>
      <c r="J663">
        <f t="shared" si="30"/>
        <v>4</v>
      </c>
      <c r="K663" t="str">
        <f t="shared" si="31"/>
        <v>Pending</v>
      </c>
      <c r="L663">
        <f t="shared" ca="1" si="32"/>
        <v>670</v>
      </c>
    </row>
    <row r="664" spans="1:12" x14ac:dyDescent="0.3">
      <c r="A664" t="s">
        <v>671</v>
      </c>
      <c r="B664" t="s">
        <v>809</v>
      </c>
      <c r="C664" s="3">
        <v>45321</v>
      </c>
      <c r="D664" s="3">
        <v>45351</v>
      </c>
      <c r="E664">
        <v>2754.86</v>
      </c>
      <c r="F664" t="s">
        <v>816</v>
      </c>
      <c r="G664" t="s">
        <v>820</v>
      </c>
      <c r="H664" s="3">
        <v>45358</v>
      </c>
      <c r="I664" t="s">
        <v>822</v>
      </c>
      <c r="J664">
        <f t="shared" si="30"/>
        <v>7</v>
      </c>
      <c r="K664" t="str">
        <f t="shared" si="31"/>
        <v>Late</v>
      </c>
      <c r="L664">
        <f t="shared" ca="1" si="32"/>
        <v>782</v>
      </c>
    </row>
    <row r="665" spans="1:12" x14ac:dyDescent="0.3">
      <c r="A665" t="s">
        <v>672</v>
      </c>
      <c r="B665" t="s">
        <v>813</v>
      </c>
      <c r="C665" s="3">
        <v>45711</v>
      </c>
      <c r="D665" s="3">
        <v>45741</v>
      </c>
      <c r="E665">
        <v>3198.07</v>
      </c>
      <c r="F665" t="s">
        <v>816</v>
      </c>
      <c r="G665" t="s">
        <v>820</v>
      </c>
      <c r="H665" s="3">
        <v>45750</v>
      </c>
      <c r="I665" t="s">
        <v>822</v>
      </c>
      <c r="J665">
        <f t="shared" si="30"/>
        <v>9</v>
      </c>
      <c r="K665" t="str">
        <f t="shared" si="31"/>
        <v>Late</v>
      </c>
      <c r="L665">
        <f t="shared" ca="1" si="32"/>
        <v>392</v>
      </c>
    </row>
    <row r="666" spans="1:12" x14ac:dyDescent="0.3">
      <c r="A666" t="s">
        <v>673</v>
      </c>
      <c r="B666" t="s">
        <v>809</v>
      </c>
      <c r="C666" s="3">
        <v>45201</v>
      </c>
      <c r="D666" s="3">
        <v>45231</v>
      </c>
      <c r="E666">
        <v>3984.98</v>
      </c>
      <c r="F666" t="s">
        <v>814</v>
      </c>
      <c r="G666" t="s">
        <v>820</v>
      </c>
      <c r="H666" s="3">
        <v>45241</v>
      </c>
      <c r="I666" t="s">
        <v>822</v>
      </c>
      <c r="J666">
        <f t="shared" si="30"/>
        <v>10</v>
      </c>
      <c r="K666" t="str">
        <f t="shared" si="31"/>
        <v>Late</v>
      </c>
      <c r="L666">
        <f t="shared" ca="1" si="32"/>
        <v>902</v>
      </c>
    </row>
    <row r="667" spans="1:12" x14ac:dyDescent="0.3">
      <c r="A667" t="s">
        <v>674</v>
      </c>
      <c r="B667" t="s">
        <v>812</v>
      </c>
      <c r="C667" s="3">
        <v>45096</v>
      </c>
      <c r="D667" s="3">
        <v>45126</v>
      </c>
      <c r="E667">
        <v>4810.12</v>
      </c>
      <c r="F667" t="s">
        <v>817</v>
      </c>
      <c r="G667" t="s">
        <v>819</v>
      </c>
      <c r="H667" s="3">
        <v>45124</v>
      </c>
      <c r="I667" t="s">
        <v>822</v>
      </c>
      <c r="J667">
        <f t="shared" si="30"/>
        <v>-2</v>
      </c>
      <c r="K667" t="str">
        <f t="shared" si="31"/>
        <v>Pending</v>
      </c>
      <c r="L667">
        <f t="shared" ca="1" si="32"/>
        <v>1007</v>
      </c>
    </row>
    <row r="668" spans="1:12" x14ac:dyDescent="0.3">
      <c r="A668" t="s">
        <v>675</v>
      </c>
      <c r="B668" t="s">
        <v>811</v>
      </c>
      <c r="C668" s="3">
        <v>45311</v>
      </c>
      <c r="D668" s="3">
        <v>45341</v>
      </c>
      <c r="E668">
        <v>4712.91</v>
      </c>
      <c r="F668" t="s">
        <v>814</v>
      </c>
      <c r="G668" t="s">
        <v>819</v>
      </c>
      <c r="H668" s="3">
        <v>45346</v>
      </c>
      <c r="I668" t="s">
        <v>822</v>
      </c>
      <c r="J668">
        <f t="shared" si="30"/>
        <v>5</v>
      </c>
      <c r="K668" t="str">
        <f t="shared" si="31"/>
        <v>Pending</v>
      </c>
      <c r="L668">
        <f t="shared" ca="1" si="32"/>
        <v>792</v>
      </c>
    </row>
    <row r="669" spans="1:12" x14ac:dyDescent="0.3">
      <c r="A669" t="s">
        <v>676</v>
      </c>
      <c r="B669" t="s">
        <v>809</v>
      </c>
      <c r="C669" s="3">
        <v>45692</v>
      </c>
      <c r="D669" s="3">
        <v>45722</v>
      </c>
      <c r="E669">
        <v>4624.82</v>
      </c>
      <c r="F669" t="s">
        <v>818</v>
      </c>
      <c r="G669" t="s">
        <v>821</v>
      </c>
      <c r="H669" s="3">
        <v>45722</v>
      </c>
      <c r="I669" t="s">
        <v>822</v>
      </c>
      <c r="J669">
        <f t="shared" si="30"/>
        <v>0</v>
      </c>
      <c r="K669" t="str">
        <f t="shared" si="31"/>
        <v>On-Time</v>
      </c>
      <c r="L669">
        <f t="shared" ca="1" si="32"/>
        <v>411</v>
      </c>
    </row>
    <row r="670" spans="1:12" x14ac:dyDescent="0.3">
      <c r="A670" t="s">
        <v>677</v>
      </c>
      <c r="B670" t="s">
        <v>813</v>
      </c>
      <c r="C670" s="3">
        <v>45522</v>
      </c>
      <c r="D670" s="3">
        <v>45552</v>
      </c>
      <c r="E670">
        <v>3779.89</v>
      </c>
      <c r="F670" t="s">
        <v>815</v>
      </c>
      <c r="G670" t="s">
        <v>819</v>
      </c>
      <c r="H670" s="3">
        <v>45562</v>
      </c>
      <c r="I670" t="s">
        <v>822</v>
      </c>
      <c r="J670">
        <f t="shared" si="30"/>
        <v>10</v>
      </c>
      <c r="K670" t="str">
        <f t="shared" si="31"/>
        <v>Pending</v>
      </c>
      <c r="L670">
        <f t="shared" ca="1" si="32"/>
        <v>581</v>
      </c>
    </row>
    <row r="671" spans="1:12" x14ac:dyDescent="0.3">
      <c r="A671" t="s">
        <v>678</v>
      </c>
      <c r="B671" t="s">
        <v>812</v>
      </c>
      <c r="C671" s="3">
        <v>45118</v>
      </c>
      <c r="D671" s="3">
        <v>45148</v>
      </c>
      <c r="E671">
        <v>528.42999999999995</v>
      </c>
      <c r="F671" t="s">
        <v>816</v>
      </c>
      <c r="G671" t="s">
        <v>820</v>
      </c>
      <c r="H671" s="3">
        <v>45155</v>
      </c>
      <c r="I671" t="s">
        <v>822</v>
      </c>
      <c r="J671">
        <f t="shared" si="30"/>
        <v>7</v>
      </c>
      <c r="K671" t="str">
        <f t="shared" si="31"/>
        <v>Late</v>
      </c>
      <c r="L671">
        <f t="shared" ca="1" si="32"/>
        <v>985</v>
      </c>
    </row>
    <row r="672" spans="1:12" x14ac:dyDescent="0.3">
      <c r="A672" t="s">
        <v>679</v>
      </c>
      <c r="B672" t="s">
        <v>811</v>
      </c>
      <c r="C672" s="3">
        <v>45305</v>
      </c>
      <c r="D672" s="3">
        <v>45335</v>
      </c>
      <c r="E672">
        <v>3542.71</v>
      </c>
      <c r="F672" t="s">
        <v>818</v>
      </c>
      <c r="G672" t="s">
        <v>821</v>
      </c>
      <c r="H672" s="3">
        <v>45335</v>
      </c>
      <c r="I672" t="s">
        <v>822</v>
      </c>
      <c r="J672">
        <f t="shared" si="30"/>
        <v>0</v>
      </c>
      <c r="K672" t="str">
        <f t="shared" si="31"/>
        <v>On-Time</v>
      </c>
      <c r="L672">
        <f t="shared" ca="1" si="32"/>
        <v>798</v>
      </c>
    </row>
    <row r="673" spans="1:12" x14ac:dyDescent="0.3">
      <c r="A673" t="s">
        <v>680</v>
      </c>
      <c r="B673" t="s">
        <v>811</v>
      </c>
      <c r="C673" s="3">
        <v>45824</v>
      </c>
      <c r="D673" s="3">
        <v>45854</v>
      </c>
      <c r="E673">
        <v>1625.04</v>
      </c>
      <c r="F673" t="s">
        <v>816</v>
      </c>
      <c r="G673" t="s">
        <v>821</v>
      </c>
      <c r="H673" s="3">
        <v>45854</v>
      </c>
      <c r="I673" t="s">
        <v>822</v>
      </c>
      <c r="J673">
        <f t="shared" si="30"/>
        <v>0</v>
      </c>
      <c r="K673" t="str">
        <f t="shared" si="31"/>
        <v>On-Time</v>
      </c>
      <c r="L673">
        <f t="shared" ca="1" si="32"/>
        <v>279</v>
      </c>
    </row>
    <row r="674" spans="1:12" x14ac:dyDescent="0.3">
      <c r="A674" t="s">
        <v>681</v>
      </c>
      <c r="B674" t="s">
        <v>810</v>
      </c>
      <c r="C674" s="3">
        <v>45213</v>
      </c>
      <c r="D674" s="3">
        <v>45243</v>
      </c>
      <c r="E674">
        <v>3513.91</v>
      </c>
      <c r="F674" t="s">
        <v>818</v>
      </c>
      <c r="G674" t="s">
        <v>820</v>
      </c>
      <c r="H674" s="3">
        <v>45246</v>
      </c>
      <c r="I674" t="s">
        <v>822</v>
      </c>
      <c r="J674">
        <f t="shared" si="30"/>
        <v>3</v>
      </c>
      <c r="K674" t="str">
        <f t="shared" si="31"/>
        <v>Late</v>
      </c>
      <c r="L674">
        <f t="shared" ca="1" si="32"/>
        <v>890</v>
      </c>
    </row>
    <row r="675" spans="1:12" x14ac:dyDescent="0.3">
      <c r="A675" t="s">
        <v>682</v>
      </c>
      <c r="B675" t="s">
        <v>813</v>
      </c>
      <c r="C675" s="3">
        <v>45079</v>
      </c>
      <c r="D675" s="3">
        <v>45109</v>
      </c>
      <c r="E675">
        <v>1005.78</v>
      </c>
      <c r="F675" t="s">
        <v>816</v>
      </c>
      <c r="G675" t="s">
        <v>821</v>
      </c>
      <c r="H675" s="3">
        <v>45109</v>
      </c>
      <c r="I675" t="s">
        <v>822</v>
      </c>
      <c r="J675">
        <f t="shared" si="30"/>
        <v>0</v>
      </c>
      <c r="K675" t="str">
        <f t="shared" si="31"/>
        <v>On-Time</v>
      </c>
      <c r="L675">
        <f t="shared" ca="1" si="32"/>
        <v>1024</v>
      </c>
    </row>
    <row r="676" spans="1:12" x14ac:dyDescent="0.3">
      <c r="A676" t="s">
        <v>683</v>
      </c>
      <c r="B676" t="s">
        <v>813</v>
      </c>
      <c r="C676" s="3">
        <v>45821</v>
      </c>
      <c r="D676" s="3">
        <v>45851</v>
      </c>
      <c r="E676">
        <v>4800.13</v>
      </c>
      <c r="F676" t="s">
        <v>818</v>
      </c>
      <c r="G676" t="s">
        <v>820</v>
      </c>
      <c r="H676" s="3">
        <v>45852</v>
      </c>
      <c r="I676" t="s">
        <v>822</v>
      </c>
      <c r="J676">
        <f t="shared" si="30"/>
        <v>1</v>
      </c>
      <c r="K676" t="str">
        <f t="shared" si="31"/>
        <v>Late</v>
      </c>
      <c r="L676">
        <f t="shared" ca="1" si="32"/>
        <v>282</v>
      </c>
    </row>
    <row r="677" spans="1:12" x14ac:dyDescent="0.3">
      <c r="A677" t="s">
        <v>684</v>
      </c>
      <c r="B677" t="s">
        <v>811</v>
      </c>
      <c r="C677" s="3">
        <v>45760</v>
      </c>
      <c r="D677" s="3">
        <v>45790</v>
      </c>
      <c r="E677">
        <v>2790.67</v>
      </c>
      <c r="F677" t="s">
        <v>818</v>
      </c>
      <c r="G677" t="s">
        <v>820</v>
      </c>
      <c r="H677" s="3">
        <v>45799</v>
      </c>
      <c r="I677" t="s">
        <v>822</v>
      </c>
      <c r="J677">
        <f t="shared" si="30"/>
        <v>9</v>
      </c>
      <c r="K677" t="str">
        <f t="shared" si="31"/>
        <v>Late</v>
      </c>
      <c r="L677">
        <f t="shared" ca="1" si="32"/>
        <v>343</v>
      </c>
    </row>
    <row r="678" spans="1:12" x14ac:dyDescent="0.3">
      <c r="A678" t="s">
        <v>685</v>
      </c>
      <c r="B678" t="s">
        <v>813</v>
      </c>
      <c r="C678" s="3">
        <v>44988</v>
      </c>
      <c r="D678" s="3">
        <v>45018</v>
      </c>
      <c r="E678">
        <v>3677.45</v>
      </c>
      <c r="F678" t="s">
        <v>816</v>
      </c>
      <c r="G678" t="s">
        <v>819</v>
      </c>
      <c r="H678" s="3">
        <v>45025</v>
      </c>
      <c r="I678" t="s">
        <v>822</v>
      </c>
      <c r="J678">
        <f t="shared" si="30"/>
        <v>7</v>
      </c>
      <c r="K678" t="str">
        <f t="shared" si="31"/>
        <v>Pending</v>
      </c>
      <c r="L678">
        <f t="shared" ca="1" si="32"/>
        <v>1115</v>
      </c>
    </row>
    <row r="679" spans="1:12" x14ac:dyDescent="0.3">
      <c r="A679" t="s">
        <v>686</v>
      </c>
      <c r="B679" t="s">
        <v>810</v>
      </c>
      <c r="C679" s="3">
        <v>44955</v>
      </c>
      <c r="D679" s="3">
        <v>44985</v>
      </c>
      <c r="E679">
        <v>2795.97</v>
      </c>
      <c r="F679" t="s">
        <v>818</v>
      </c>
      <c r="G679" t="s">
        <v>820</v>
      </c>
      <c r="H679" s="3">
        <v>44984</v>
      </c>
      <c r="I679" t="s">
        <v>822</v>
      </c>
      <c r="J679">
        <f t="shared" si="30"/>
        <v>-1</v>
      </c>
      <c r="K679" t="str">
        <f t="shared" si="31"/>
        <v>On-Time</v>
      </c>
      <c r="L679">
        <f t="shared" ca="1" si="32"/>
        <v>1148</v>
      </c>
    </row>
    <row r="680" spans="1:12" x14ac:dyDescent="0.3">
      <c r="A680" t="s">
        <v>687</v>
      </c>
      <c r="B680" t="s">
        <v>810</v>
      </c>
      <c r="C680" s="3">
        <v>45152</v>
      </c>
      <c r="D680" s="3">
        <v>45182</v>
      </c>
      <c r="E680">
        <v>3609.91</v>
      </c>
      <c r="F680" t="s">
        <v>814</v>
      </c>
      <c r="G680" t="s">
        <v>819</v>
      </c>
      <c r="H680" s="3">
        <v>45187</v>
      </c>
      <c r="I680" t="s">
        <v>822</v>
      </c>
      <c r="J680">
        <f t="shared" si="30"/>
        <v>5</v>
      </c>
      <c r="K680" t="str">
        <f t="shared" si="31"/>
        <v>Pending</v>
      </c>
      <c r="L680">
        <f t="shared" ca="1" si="32"/>
        <v>951</v>
      </c>
    </row>
    <row r="681" spans="1:12" x14ac:dyDescent="0.3">
      <c r="A681" t="s">
        <v>688</v>
      </c>
      <c r="B681" t="s">
        <v>811</v>
      </c>
      <c r="C681" s="3">
        <v>45467</v>
      </c>
      <c r="D681" s="3">
        <v>45497</v>
      </c>
      <c r="E681">
        <v>415.41</v>
      </c>
      <c r="F681" t="s">
        <v>815</v>
      </c>
      <c r="G681" t="s">
        <v>819</v>
      </c>
      <c r="H681" s="3">
        <v>45498</v>
      </c>
      <c r="I681" t="s">
        <v>822</v>
      </c>
      <c r="J681">
        <f t="shared" si="30"/>
        <v>1</v>
      </c>
      <c r="K681" t="str">
        <f t="shared" si="31"/>
        <v>Pending</v>
      </c>
      <c r="L681">
        <f t="shared" ca="1" si="32"/>
        <v>636</v>
      </c>
    </row>
    <row r="682" spans="1:12" x14ac:dyDescent="0.3">
      <c r="A682" t="s">
        <v>689</v>
      </c>
      <c r="B682" t="s">
        <v>809</v>
      </c>
      <c r="C682" s="3">
        <v>45441</v>
      </c>
      <c r="D682" s="3">
        <v>45471</v>
      </c>
      <c r="E682">
        <v>3262.02</v>
      </c>
      <c r="F682" t="s">
        <v>814</v>
      </c>
      <c r="G682" t="s">
        <v>820</v>
      </c>
      <c r="H682" s="3">
        <v>45471</v>
      </c>
      <c r="I682" t="s">
        <v>822</v>
      </c>
      <c r="J682">
        <f t="shared" si="30"/>
        <v>0</v>
      </c>
      <c r="K682" t="str">
        <f t="shared" si="31"/>
        <v>On-Time</v>
      </c>
      <c r="L682">
        <f t="shared" ca="1" si="32"/>
        <v>662</v>
      </c>
    </row>
    <row r="683" spans="1:12" x14ac:dyDescent="0.3">
      <c r="A683" t="s">
        <v>690</v>
      </c>
      <c r="B683" t="s">
        <v>810</v>
      </c>
      <c r="C683" s="3">
        <v>45514</v>
      </c>
      <c r="D683" s="3">
        <v>45544</v>
      </c>
      <c r="E683">
        <v>386.52</v>
      </c>
      <c r="F683" t="s">
        <v>814</v>
      </c>
      <c r="G683" t="s">
        <v>819</v>
      </c>
      <c r="H683" s="3">
        <v>45542</v>
      </c>
      <c r="I683" t="s">
        <v>822</v>
      </c>
      <c r="J683">
        <f t="shared" si="30"/>
        <v>-2</v>
      </c>
      <c r="K683" t="str">
        <f t="shared" si="31"/>
        <v>Pending</v>
      </c>
      <c r="L683">
        <f t="shared" ca="1" si="32"/>
        <v>589</v>
      </c>
    </row>
    <row r="684" spans="1:12" x14ac:dyDescent="0.3">
      <c r="A684" t="s">
        <v>691</v>
      </c>
      <c r="B684" t="s">
        <v>813</v>
      </c>
      <c r="C684" s="3">
        <v>45150</v>
      </c>
      <c r="D684" s="3">
        <v>45180</v>
      </c>
      <c r="E684">
        <v>3339.93</v>
      </c>
      <c r="F684" t="s">
        <v>816</v>
      </c>
      <c r="G684" t="s">
        <v>820</v>
      </c>
      <c r="H684" s="3">
        <v>45187</v>
      </c>
      <c r="I684" t="s">
        <v>822</v>
      </c>
      <c r="J684">
        <f t="shared" si="30"/>
        <v>7</v>
      </c>
      <c r="K684" t="str">
        <f t="shared" si="31"/>
        <v>Late</v>
      </c>
      <c r="L684">
        <f t="shared" ca="1" si="32"/>
        <v>953</v>
      </c>
    </row>
    <row r="685" spans="1:12" x14ac:dyDescent="0.3">
      <c r="A685" t="s">
        <v>692</v>
      </c>
      <c r="B685" t="s">
        <v>811</v>
      </c>
      <c r="C685" s="3">
        <v>45065</v>
      </c>
      <c r="D685" s="3">
        <v>45095</v>
      </c>
      <c r="E685">
        <v>4195.2</v>
      </c>
      <c r="F685" t="s">
        <v>814</v>
      </c>
      <c r="G685" t="s">
        <v>820</v>
      </c>
      <c r="H685" s="3">
        <v>45093</v>
      </c>
      <c r="I685" t="s">
        <v>822</v>
      </c>
      <c r="J685">
        <f t="shared" si="30"/>
        <v>-2</v>
      </c>
      <c r="K685" t="str">
        <f t="shared" si="31"/>
        <v>On-Time</v>
      </c>
      <c r="L685">
        <f t="shared" ca="1" si="32"/>
        <v>1038</v>
      </c>
    </row>
    <row r="686" spans="1:12" x14ac:dyDescent="0.3">
      <c r="A686" t="s">
        <v>693</v>
      </c>
      <c r="B686" t="s">
        <v>811</v>
      </c>
      <c r="C686" s="3">
        <v>45065</v>
      </c>
      <c r="D686" s="3">
        <v>45095</v>
      </c>
      <c r="E686">
        <v>2911.89</v>
      </c>
      <c r="F686" t="s">
        <v>814</v>
      </c>
      <c r="G686" t="s">
        <v>819</v>
      </c>
      <c r="H686" s="3">
        <v>45103</v>
      </c>
      <c r="I686" t="s">
        <v>822</v>
      </c>
      <c r="J686">
        <f t="shared" si="30"/>
        <v>8</v>
      </c>
      <c r="K686" t="str">
        <f t="shared" si="31"/>
        <v>Pending</v>
      </c>
      <c r="L686">
        <f t="shared" ca="1" si="32"/>
        <v>1038</v>
      </c>
    </row>
    <row r="687" spans="1:12" x14ac:dyDescent="0.3">
      <c r="A687" t="s">
        <v>694</v>
      </c>
      <c r="B687" t="s">
        <v>813</v>
      </c>
      <c r="C687" s="3">
        <v>45746</v>
      </c>
      <c r="D687" s="3">
        <v>45776</v>
      </c>
      <c r="E687">
        <v>1595.21</v>
      </c>
      <c r="F687" t="s">
        <v>815</v>
      </c>
      <c r="G687" t="s">
        <v>819</v>
      </c>
      <c r="H687" s="3">
        <v>45784</v>
      </c>
      <c r="I687" t="s">
        <v>822</v>
      </c>
      <c r="J687">
        <f t="shared" si="30"/>
        <v>8</v>
      </c>
      <c r="K687" t="str">
        <f t="shared" si="31"/>
        <v>Pending</v>
      </c>
      <c r="L687">
        <f t="shared" ca="1" si="32"/>
        <v>357</v>
      </c>
    </row>
    <row r="688" spans="1:12" x14ac:dyDescent="0.3">
      <c r="A688" t="s">
        <v>695</v>
      </c>
      <c r="B688" t="s">
        <v>811</v>
      </c>
      <c r="C688" s="3">
        <v>45023</v>
      </c>
      <c r="D688" s="3">
        <v>45053</v>
      </c>
      <c r="E688">
        <v>2246.04</v>
      </c>
      <c r="F688" t="s">
        <v>814</v>
      </c>
      <c r="G688" t="s">
        <v>819</v>
      </c>
      <c r="H688" s="3">
        <v>45051</v>
      </c>
      <c r="I688" t="s">
        <v>822</v>
      </c>
      <c r="J688">
        <f t="shared" si="30"/>
        <v>-2</v>
      </c>
      <c r="K688" t="str">
        <f t="shared" si="31"/>
        <v>Pending</v>
      </c>
      <c r="L688">
        <f t="shared" ca="1" si="32"/>
        <v>1080</v>
      </c>
    </row>
    <row r="689" spans="1:12" x14ac:dyDescent="0.3">
      <c r="A689" t="s">
        <v>696</v>
      </c>
      <c r="B689" t="s">
        <v>813</v>
      </c>
      <c r="C689" s="3">
        <v>45292</v>
      </c>
      <c r="D689" s="3">
        <v>45322</v>
      </c>
      <c r="E689">
        <v>560.41999999999996</v>
      </c>
      <c r="F689" t="s">
        <v>814</v>
      </c>
      <c r="G689" t="s">
        <v>821</v>
      </c>
      <c r="H689" s="3">
        <v>45322</v>
      </c>
      <c r="I689" t="s">
        <v>822</v>
      </c>
      <c r="J689">
        <f t="shared" si="30"/>
        <v>0</v>
      </c>
      <c r="K689" t="str">
        <f t="shared" si="31"/>
        <v>On-Time</v>
      </c>
      <c r="L689">
        <f t="shared" ca="1" si="32"/>
        <v>811</v>
      </c>
    </row>
    <row r="690" spans="1:12" x14ac:dyDescent="0.3">
      <c r="A690" t="s">
        <v>697</v>
      </c>
      <c r="B690" t="s">
        <v>812</v>
      </c>
      <c r="C690" s="3">
        <v>45259</v>
      </c>
      <c r="D690" s="3">
        <v>45289</v>
      </c>
      <c r="E690">
        <v>1796.7</v>
      </c>
      <c r="F690" t="s">
        <v>814</v>
      </c>
      <c r="G690" t="s">
        <v>819</v>
      </c>
      <c r="H690" s="3">
        <v>45297</v>
      </c>
      <c r="I690" t="s">
        <v>822</v>
      </c>
      <c r="J690">
        <f t="shared" si="30"/>
        <v>8</v>
      </c>
      <c r="K690" t="str">
        <f t="shared" si="31"/>
        <v>Pending</v>
      </c>
      <c r="L690">
        <f t="shared" ca="1" si="32"/>
        <v>844</v>
      </c>
    </row>
    <row r="691" spans="1:12" x14ac:dyDescent="0.3">
      <c r="A691" t="s">
        <v>698</v>
      </c>
      <c r="B691" t="s">
        <v>810</v>
      </c>
      <c r="C691" s="3">
        <v>45444</v>
      </c>
      <c r="D691" s="3">
        <v>45474</v>
      </c>
      <c r="E691">
        <v>1049.54</v>
      </c>
      <c r="F691" t="s">
        <v>814</v>
      </c>
      <c r="G691" t="s">
        <v>820</v>
      </c>
      <c r="H691" s="3">
        <v>45480</v>
      </c>
      <c r="I691" t="s">
        <v>822</v>
      </c>
      <c r="J691">
        <f t="shared" si="30"/>
        <v>6</v>
      </c>
      <c r="K691" t="str">
        <f t="shared" si="31"/>
        <v>Late</v>
      </c>
      <c r="L691">
        <f t="shared" ca="1" si="32"/>
        <v>659</v>
      </c>
    </row>
    <row r="692" spans="1:12" x14ac:dyDescent="0.3">
      <c r="A692" t="s">
        <v>699</v>
      </c>
      <c r="B692" t="s">
        <v>811</v>
      </c>
      <c r="C692" s="3">
        <v>45178</v>
      </c>
      <c r="D692" s="3">
        <v>45208</v>
      </c>
      <c r="E692">
        <v>2858.31</v>
      </c>
      <c r="F692" t="s">
        <v>814</v>
      </c>
      <c r="G692" t="s">
        <v>819</v>
      </c>
      <c r="H692" s="3">
        <v>45214</v>
      </c>
      <c r="I692" t="s">
        <v>822</v>
      </c>
      <c r="J692">
        <f t="shared" si="30"/>
        <v>6</v>
      </c>
      <c r="K692" t="str">
        <f t="shared" si="31"/>
        <v>Pending</v>
      </c>
      <c r="L692">
        <f t="shared" ca="1" si="32"/>
        <v>925</v>
      </c>
    </row>
    <row r="693" spans="1:12" x14ac:dyDescent="0.3">
      <c r="A693" t="s">
        <v>700</v>
      </c>
      <c r="B693" t="s">
        <v>811</v>
      </c>
      <c r="C693" s="3">
        <v>45279</v>
      </c>
      <c r="D693" s="3">
        <v>45309</v>
      </c>
      <c r="E693">
        <v>2144.37</v>
      </c>
      <c r="F693" t="s">
        <v>815</v>
      </c>
      <c r="G693" t="s">
        <v>819</v>
      </c>
      <c r="H693" s="3">
        <v>45316</v>
      </c>
      <c r="I693" t="s">
        <v>822</v>
      </c>
      <c r="J693">
        <f t="shared" si="30"/>
        <v>7</v>
      </c>
      <c r="K693" t="str">
        <f t="shared" si="31"/>
        <v>Pending</v>
      </c>
      <c r="L693">
        <f t="shared" ca="1" si="32"/>
        <v>824</v>
      </c>
    </row>
    <row r="694" spans="1:12" x14ac:dyDescent="0.3">
      <c r="A694" t="s">
        <v>701</v>
      </c>
      <c r="B694" t="s">
        <v>812</v>
      </c>
      <c r="C694" s="3">
        <v>45815</v>
      </c>
      <c r="D694" s="3">
        <v>45845</v>
      </c>
      <c r="E694">
        <v>1051.29</v>
      </c>
      <c r="F694" t="s">
        <v>814</v>
      </c>
      <c r="G694" t="s">
        <v>821</v>
      </c>
      <c r="H694" s="3">
        <v>45845</v>
      </c>
      <c r="I694" t="s">
        <v>822</v>
      </c>
      <c r="J694">
        <f t="shared" si="30"/>
        <v>0</v>
      </c>
      <c r="K694" t="str">
        <f t="shared" si="31"/>
        <v>On-Time</v>
      </c>
      <c r="L694">
        <f t="shared" ca="1" si="32"/>
        <v>288</v>
      </c>
    </row>
    <row r="695" spans="1:12" x14ac:dyDescent="0.3">
      <c r="A695" t="s">
        <v>702</v>
      </c>
      <c r="B695" t="s">
        <v>812</v>
      </c>
      <c r="C695" s="3">
        <v>45006</v>
      </c>
      <c r="D695" s="3">
        <v>45036</v>
      </c>
      <c r="E695">
        <v>212.66</v>
      </c>
      <c r="F695" t="s">
        <v>817</v>
      </c>
      <c r="G695" t="s">
        <v>820</v>
      </c>
      <c r="H695" s="3">
        <v>45045</v>
      </c>
      <c r="I695" t="s">
        <v>822</v>
      </c>
      <c r="J695">
        <f t="shared" si="30"/>
        <v>9</v>
      </c>
      <c r="K695" t="str">
        <f t="shared" si="31"/>
        <v>Late</v>
      </c>
      <c r="L695">
        <f t="shared" ca="1" si="32"/>
        <v>1097</v>
      </c>
    </row>
    <row r="696" spans="1:12" x14ac:dyDescent="0.3">
      <c r="A696" t="s">
        <v>703</v>
      </c>
      <c r="B696" t="s">
        <v>810</v>
      </c>
      <c r="C696" s="3">
        <v>45271</v>
      </c>
      <c r="D696" s="3">
        <v>45301</v>
      </c>
      <c r="E696">
        <v>2649.88</v>
      </c>
      <c r="F696" t="s">
        <v>814</v>
      </c>
      <c r="G696" t="s">
        <v>821</v>
      </c>
      <c r="H696" s="3">
        <v>45301</v>
      </c>
      <c r="I696" t="s">
        <v>822</v>
      </c>
      <c r="J696">
        <f t="shared" si="30"/>
        <v>0</v>
      </c>
      <c r="K696" t="str">
        <f t="shared" si="31"/>
        <v>On-Time</v>
      </c>
      <c r="L696">
        <f t="shared" ca="1" si="32"/>
        <v>832</v>
      </c>
    </row>
    <row r="697" spans="1:12" x14ac:dyDescent="0.3">
      <c r="A697" t="s">
        <v>704</v>
      </c>
      <c r="B697" t="s">
        <v>809</v>
      </c>
      <c r="C697" s="3">
        <v>45074</v>
      </c>
      <c r="D697" s="3">
        <v>45104</v>
      </c>
      <c r="E697">
        <v>2025.22</v>
      </c>
      <c r="F697" t="s">
        <v>816</v>
      </c>
      <c r="G697" t="s">
        <v>819</v>
      </c>
      <c r="H697" s="3">
        <v>45107</v>
      </c>
      <c r="I697" t="s">
        <v>822</v>
      </c>
      <c r="J697">
        <f t="shared" si="30"/>
        <v>3</v>
      </c>
      <c r="K697" t="str">
        <f t="shared" si="31"/>
        <v>Pending</v>
      </c>
      <c r="L697">
        <f t="shared" ca="1" si="32"/>
        <v>1029</v>
      </c>
    </row>
    <row r="698" spans="1:12" x14ac:dyDescent="0.3">
      <c r="A698" t="s">
        <v>705</v>
      </c>
      <c r="B698" t="s">
        <v>810</v>
      </c>
      <c r="C698" s="3">
        <v>45779</v>
      </c>
      <c r="D698" s="3">
        <v>45809</v>
      </c>
      <c r="E698">
        <v>2110.4899999999998</v>
      </c>
      <c r="F698" t="s">
        <v>816</v>
      </c>
      <c r="G698" t="s">
        <v>821</v>
      </c>
      <c r="H698" s="3">
        <v>45809</v>
      </c>
      <c r="I698" t="s">
        <v>822</v>
      </c>
      <c r="J698">
        <f t="shared" si="30"/>
        <v>0</v>
      </c>
      <c r="K698" t="str">
        <f t="shared" si="31"/>
        <v>On-Time</v>
      </c>
      <c r="L698">
        <f t="shared" ca="1" si="32"/>
        <v>324</v>
      </c>
    </row>
    <row r="699" spans="1:12" x14ac:dyDescent="0.3">
      <c r="A699" t="s">
        <v>706</v>
      </c>
      <c r="B699" t="s">
        <v>810</v>
      </c>
      <c r="C699" s="3">
        <v>45624</v>
      </c>
      <c r="D699" s="3">
        <v>45654</v>
      </c>
      <c r="E699">
        <v>4740.3</v>
      </c>
      <c r="F699" t="s">
        <v>815</v>
      </c>
      <c r="G699" t="s">
        <v>821</v>
      </c>
      <c r="H699" s="3">
        <v>45654</v>
      </c>
      <c r="I699" t="s">
        <v>822</v>
      </c>
      <c r="J699">
        <f t="shared" si="30"/>
        <v>0</v>
      </c>
      <c r="K699" t="str">
        <f t="shared" si="31"/>
        <v>On-Time</v>
      </c>
      <c r="L699">
        <f t="shared" ca="1" si="32"/>
        <v>479</v>
      </c>
    </row>
    <row r="700" spans="1:12" x14ac:dyDescent="0.3">
      <c r="A700" t="s">
        <v>707</v>
      </c>
      <c r="B700" t="s">
        <v>813</v>
      </c>
      <c r="C700" s="3">
        <v>45571</v>
      </c>
      <c r="D700" s="3">
        <v>45601</v>
      </c>
      <c r="E700">
        <v>2511.0500000000002</v>
      </c>
      <c r="F700" t="s">
        <v>815</v>
      </c>
      <c r="G700" t="s">
        <v>820</v>
      </c>
      <c r="H700" s="3">
        <v>45607</v>
      </c>
      <c r="I700" t="s">
        <v>822</v>
      </c>
      <c r="J700">
        <f t="shared" si="30"/>
        <v>6</v>
      </c>
      <c r="K700" t="str">
        <f t="shared" si="31"/>
        <v>Late</v>
      </c>
      <c r="L700">
        <f t="shared" ca="1" si="32"/>
        <v>532</v>
      </c>
    </row>
    <row r="701" spans="1:12" x14ac:dyDescent="0.3">
      <c r="A701" t="s">
        <v>708</v>
      </c>
      <c r="B701" t="s">
        <v>810</v>
      </c>
      <c r="C701" s="3">
        <v>45459</v>
      </c>
      <c r="D701" s="3">
        <v>45489</v>
      </c>
      <c r="E701">
        <v>1198.06</v>
      </c>
      <c r="F701" t="s">
        <v>817</v>
      </c>
      <c r="G701" t="s">
        <v>819</v>
      </c>
      <c r="H701" s="3">
        <v>45491</v>
      </c>
      <c r="I701" t="s">
        <v>822</v>
      </c>
      <c r="J701">
        <f t="shared" si="30"/>
        <v>2</v>
      </c>
      <c r="K701" t="str">
        <f t="shared" si="31"/>
        <v>Pending</v>
      </c>
      <c r="L701">
        <f t="shared" ca="1" si="32"/>
        <v>644</v>
      </c>
    </row>
    <row r="702" spans="1:12" x14ac:dyDescent="0.3">
      <c r="A702" t="s">
        <v>709</v>
      </c>
      <c r="B702" t="s">
        <v>811</v>
      </c>
      <c r="C702" s="3">
        <v>45627</v>
      </c>
      <c r="D702" s="3">
        <v>45657</v>
      </c>
      <c r="E702">
        <v>4648.54</v>
      </c>
      <c r="F702" t="s">
        <v>817</v>
      </c>
      <c r="G702" t="s">
        <v>820</v>
      </c>
      <c r="H702" s="3">
        <v>45659</v>
      </c>
      <c r="I702" t="s">
        <v>822</v>
      </c>
      <c r="J702">
        <f t="shared" si="30"/>
        <v>2</v>
      </c>
      <c r="K702" t="str">
        <f t="shared" si="31"/>
        <v>Late</v>
      </c>
      <c r="L702">
        <f t="shared" ca="1" si="32"/>
        <v>476</v>
      </c>
    </row>
    <row r="703" spans="1:12" x14ac:dyDescent="0.3">
      <c r="A703" t="s">
        <v>710</v>
      </c>
      <c r="B703" t="s">
        <v>812</v>
      </c>
      <c r="C703" s="3">
        <v>45391</v>
      </c>
      <c r="D703" s="3">
        <v>45421</v>
      </c>
      <c r="E703">
        <v>1123.9000000000001</v>
      </c>
      <c r="F703" t="s">
        <v>817</v>
      </c>
      <c r="G703" t="s">
        <v>819</v>
      </c>
      <c r="H703" s="3">
        <v>45420</v>
      </c>
      <c r="I703" t="s">
        <v>822</v>
      </c>
      <c r="J703">
        <f t="shared" si="30"/>
        <v>-1</v>
      </c>
      <c r="K703" t="str">
        <f t="shared" si="31"/>
        <v>Pending</v>
      </c>
      <c r="L703">
        <f t="shared" ca="1" si="32"/>
        <v>712</v>
      </c>
    </row>
    <row r="704" spans="1:12" x14ac:dyDescent="0.3">
      <c r="A704" t="s">
        <v>711</v>
      </c>
      <c r="B704" t="s">
        <v>809</v>
      </c>
      <c r="C704" s="3">
        <v>45271</v>
      </c>
      <c r="D704" s="3">
        <v>45301</v>
      </c>
      <c r="E704">
        <v>137.11000000000001</v>
      </c>
      <c r="F704" t="s">
        <v>817</v>
      </c>
      <c r="G704" t="s">
        <v>820</v>
      </c>
      <c r="H704" s="3">
        <v>45306</v>
      </c>
      <c r="I704" t="s">
        <v>822</v>
      </c>
      <c r="J704">
        <f t="shared" si="30"/>
        <v>5</v>
      </c>
      <c r="K704" t="str">
        <f t="shared" si="31"/>
        <v>Late</v>
      </c>
      <c r="L704">
        <f t="shared" ca="1" si="32"/>
        <v>832</v>
      </c>
    </row>
    <row r="705" spans="1:12" x14ac:dyDescent="0.3">
      <c r="A705" t="s">
        <v>712</v>
      </c>
      <c r="B705" t="s">
        <v>809</v>
      </c>
      <c r="C705" s="3">
        <v>45445</v>
      </c>
      <c r="D705" s="3">
        <v>45475</v>
      </c>
      <c r="E705">
        <v>1824.99</v>
      </c>
      <c r="F705" t="s">
        <v>814</v>
      </c>
      <c r="G705" t="s">
        <v>821</v>
      </c>
      <c r="H705" s="3">
        <v>45475</v>
      </c>
      <c r="I705" t="s">
        <v>822</v>
      </c>
      <c r="J705">
        <f t="shared" si="30"/>
        <v>0</v>
      </c>
      <c r="K705" t="str">
        <f t="shared" si="31"/>
        <v>On-Time</v>
      </c>
      <c r="L705">
        <f t="shared" ca="1" si="32"/>
        <v>658</v>
      </c>
    </row>
    <row r="706" spans="1:12" x14ac:dyDescent="0.3">
      <c r="A706" t="s">
        <v>713</v>
      </c>
      <c r="B706" t="s">
        <v>812</v>
      </c>
      <c r="C706" s="3">
        <v>45079</v>
      </c>
      <c r="D706" s="3">
        <v>45109</v>
      </c>
      <c r="E706">
        <v>3916.78</v>
      </c>
      <c r="F706" t="s">
        <v>816</v>
      </c>
      <c r="G706" t="s">
        <v>820</v>
      </c>
      <c r="H706" s="3">
        <v>45117</v>
      </c>
      <c r="I706" t="s">
        <v>822</v>
      </c>
      <c r="J706">
        <f t="shared" si="30"/>
        <v>8</v>
      </c>
      <c r="K706" t="str">
        <f t="shared" si="31"/>
        <v>Late</v>
      </c>
      <c r="L706">
        <f t="shared" ca="1" si="32"/>
        <v>1024</v>
      </c>
    </row>
    <row r="707" spans="1:12" x14ac:dyDescent="0.3">
      <c r="A707" t="s">
        <v>714</v>
      </c>
      <c r="B707" t="s">
        <v>811</v>
      </c>
      <c r="C707" s="3">
        <v>45091</v>
      </c>
      <c r="D707" s="3">
        <v>45121</v>
      </c>
      <c r="E707">
        <v>4748.8999999999996</v>
      </c>
      <c r="F707" t="s">
        <v>818</v>
      </c>
      <c r="G707" t="s">
        <v>820</v>
      </c>
      <c r="H707" s="3">
        <v>45124</v>
      </c>
      <c r="I707" t="s">
        <v>822</v>
      </c>
      <c r="J707">
        <f t="shared" ref="J707:J770" si="33">IF(H707="",0,H707-D707)</f>
        <v>3</v>
      </c>
      <c r="K707" t="str">
        <f t="shared" ref="K707:K770" si="34">IF(G707="Open","Pending",IF(H707&lt;=D707,"On-Time","Late"))</f>
        <v>Late</v>
      </c>
      <c r="L707">
        <f t="shared" ref="L707:L770" ca="1" si="35">TODAY()-C707</f>
        <v>1012</v>
      </c>
    </row>
    <row r="708" spans="1:12" x14ac:dyDescent="0.3">
      <c r="A708" t="s">
        <v>715</v>
      </c>
      <c r="B708" t="s">
        <v>813</v>
      </c>
      <c r="C708" s="3">
        <v>45770</v>
      </c>
      <c r="D708" s="3">
        <v>45800</v>
      </c>
      <c r="E708">
        <v>2620.19</v>
      </c>
      <c r="F708" t="s">
        <v>814</v>
      </c>
      <c r="G708" t="s">
        <v>819</v>
      </c>
      <c r="H708" s="3">
        <v>45804</v>
      </c>
      <c r="I708" t="s">
        <v>822</v>
      </c>
      <c r="J708">
        <f t="shared" si="33"/>
        <v>4</v>
      </c>
      <c r="K708" t="str">
        <f t="shared" si="34"/>
        <v>Pending</v>
      </c>
      <c r="L708">
        <f t="shared" ca="1" si="35"/>
        <v>333</v>
      </c>
    </row>
    <row r="709" spans="1:12" x14ac:dyDescent="0.3">
      <c r="A709" t="s">
        <v>716</v>
      </c>
      <c r="B709" t="s">
        <v>810</v>
      </c>
      <c r="C709" s="3">
        <v>44990</v>
      </c>
      <c r="D709" s="3">
        <v>45020</v>
      </c>
      <c r="E709">
        <v>3038.06</v>
      </c>
      <c r="F709" t="s">
        <v>818</v>
      </c>
      <c r="G709" t="s">
        <v>819</v>
      </c>
      <c r="H709" s="3">
        <v>45029</v>
      </c>
      <c r="I709" t="s">
        <v>822</v>
      </c>
      <c r="J709">
        <f t="shared" si="33"/>
        <v>9</v>
      </c>
      <c r="K709" t="str">
        <f t="shared" si="34"/>
        <v>Pending</v>
      </c>
      <c r="L709">
        <f t="shared" ca="1" si="35"/>
        <v>1113</v>
      </c>
    </row>
    <row r="710" spans="1:12" x14ac:dyDescent="0.3">
      <c r="A710" t="s">
        <v>717</v>
      </c>
      <c r="B710" t="s">
        <v>810</v>
      </c>
      <c r="C710" s="3">
        <v>45275</v>
      </c>
      <c r="D710" s="3">
        <v>45305</v>
      </c>
      <c r="E710">
        <v>1309.8800000000001</v>
      </c>
      <c r="F710" t="s">
        <v>814</v>
      </c>
      <c r="G710" t="s">
        <v>821</v>
      </c>
      <c r="H710" s="3">
        <v>45305</v>
      </c>
      <c r="I710" t="s">
        <v>822</v>
      </c>
      <c r="J710">
        <f t="shared" si="33"/>
        <v>0</v>
      </c>
      <c r="K710" t="str">
        <f t="shared" si="34"/>
        <v>On-Time</v>
      </c>
      <c r="L710">
        <f t="shared" ca="1" si="35"/>
        <v>828</v>
      </c>
    </row>
    <row r="711" spans="1:12" x14ac:dyDescent="0.3">
      <c r="A711" t="s">
        <v>718</v>
      </c>
      <c r="B711" t="s">
        <v>811</v>
      </c>
      <c r="C711" s="3">
        <v>45028</v>
      </c>
      <c r="D711" s="3">
        <v>45058</v>
      </c>
      <c r="E711">
        <v>3542.51</v>
      </c>
      <c r="F711" t="s">
        <v>816</v>
      </c>
      <c r="G711" t="s">
        <v>821</v>
      </c>
      <c r="H711" s="3">
        <v>45058</v>
      </c>
      <c r="I711" t="s">
        <v>822</v>
      </c>
      <c r="J711">
        <f t="shared" si="33"/>
        <v>0</v>
      </c>
      <c r="K711" t="str">
        <f t="shared" si="34"/>
        <v>On-Time</v>
      </c>
      <c r="L711">
        <f t="shared" ca="1" si="35"/>
        <v>1075</v>
      </c>
    </row>
    <row r="712" spans="1:12" x14ac:dyDescent="0.3">
      <c r="A712" t="s">
        <v>719</v>
      </c>
      <c r="B712" t="s">
        <v>809</v>
      </c>
      <c r="C712" s="3">
        <v>44986</v>
      </c>
      <c r="D712" s="3">
        <v>45016</v>
      </c>
      <c r="E712">
        <v>1785.99</v>
      </c>
      <c r="F712" t="s">
        <v>818</v>
      </c>
      <c r="G712" t="s">
        <v>820</v>
      </c>
      <c r="H712" s="3">
        <v>45020</v>
      </c>
      <c r="I712" t="s">
        <v>822</v>
      </c>
      <c r="J712">
        <f t="shared" si="33"/>
        <v>4</v>
      </c>
      <c r="K712" t="str">
        <f t="shared" si="34"/>
        <v>Late</v>
      </c>
      <c r="L712">
        <f t="shared" ca="1" si="35"/>
        <v>1117</v>
      </c>
    </row>
    <row r="713" spans="1:12" x14ac:dyDescent="0.3">
      <c r="A713" t="s">
        <v>720</v>
      </c>
      <c r="B713" t="s">
        <v>810</v>
      </c>
      <c r="C713" s="3">
        <v>45158</v>
      </c>
      <c r="D713" s="3">
        <v>45188</v>
      </c>
      <c r="E713">
        <v>2979.86</v>
      </c>
      <c r="F713" t="s">
        <v>815</v>
      </c>
      <c r="G713" t="s">
        <v>821</v>
      </c>
      <c r="H713" s="3">
        <v>45188</v>
      </c>
      <c r="I713" t="s">
        <v>822</v>
      </c>
      <c r="J713">
        <f t="shared" si="33"/>
        <v>0</v>
      </c>
      <c r="K713" t="str">
        <f t="shared" si="34"/>
        <v>On-Time</v>
      </c>
      <c r="L713">
        <f t="shared" ca="1" si="35"/>
        <v>945</v>
      </c>
    </row>
    <row r="714" spans="1:12" x14ac:dyDescent="0.3">
      <c r="A714" t="s">
        <v>721</v>
      </c>
      <c r="B714" t="s">
        <v>812</v>
      </c>
      <c r="C714" s="3">
        <v>45154</v>
      </c>
      <c r="D714" s="3">
        <v>45184</v>
      </c>
      <c r="E714">
        <v>3891.24</v>
      </c>
      <c r="F714" t="s">
        <v>816</v>
      </c>
      <c r="G714" t="s">
        <v>820</v>
      </c>
      <c r="H714" s="3">
        <v>45183</v>
      </c>
      <c r="I714" t="s">
        <v>822</v>
      </c>
      <c r="J714">
        <f t="shared" si="33"/>
        <v>-1</v>
      </c>
      <c r="K714" t="str">
        <f t="shared" si="34"/>
        <v>On-Time</v>
      </c>
      <c r="L714">
        <f t="shared" ca="1" si="35"/>
        <v>949</v>
      </c>
    </row>
    <row r="715" spans="1:12" x14ac:dyDescent="0.3">
      <c r="A715" t="s">
        <v>722</v>
      </c>
      <c r="B715" t="s">
        <v>810</v>
      </c>
      <c r="C715" s="3">
        <v>45698</v>
      </c>
      <c r="D715" s="3">
        <v>45728</v>
      </c>
      <c r="E715">
        <v>4674.42</v>
      </c>
      <c r="F715" t="s">
        <v>817</v>
      </c>
      <c r="G715" t="s">
        <v>821</v>
      </c>
      <c r="H715" s="3">
        <v>45728</v>
      </c>
      <c r="I715" t="s">
        <v>822</v>
      </c>
      <c r="J715">
        <f t="shared" si="33"/>
        <v>0</v>
      </c>
      <c r="K715" t="str">
        <f t="shared" si="34"/>
        <v>On-Time</v>
      </c>
      <c r="L715">
        <f t="shared" ca="1" si="35"/>
        <v>405</v>
      </c>
    </row>
    <row r="716" spans="1:12" x14ac:dyDescent="0.3">
      <c r="A716" t="s">
        <v>723</v>
      </c>
      <c r="B716" t="s">
        <v>809</v>
      </c>
      <c r="C716" s="3">
        <v>45464</v>
      </c>
      <c r="D716" s="3">
        <v>45494</v>
      </c>
      <c r="E716">
        <v>2370.71</v>
      </c>
      <c r="F716" t="s">
        <v>816</v>
      </c>
      <c r="G716" t="s">
        <v>820</v>
      </c>
      <c r="H716" s="3">
        <v>45503</v>
      </c>
      <c r="I716" t="s">
        <v>822</v>
      </c>
      <c r="J716">
        <f t="shared" si="33"/>
        <v>9</v>
      </c>
      <c r="K716" t="str">
        <f t="shared" si="34"/>
        <v>Late</v>
      </c>
      <c r="L716">
        <f t="shared" ca="1" si="35"/>
        <v>639</v>
      </c>
    </row>
    <row r="717" spans="1:12" x14ac:dyDescent="0.3">
      <c r="A717" t="s">
        <v>724</v>
      </c>
      <c r="B717" t="s">
        <v>809</v>
      </c>
      <c r="C717" s="3">
        <v>45168</v>
      </c>
      <c r="D717" s="3">
        <v>45198</v>
      </c>
      <c r="E717">
        <v>2872.68</v>
      </c>
      <c r="F717" t="s">
        <v>818</v>
      </c>
      <c r="G717" t="s">
        <v>820</v>
      </c>
      <c r="H717" s="3">
        <v>45195</v>
      </c>
      <c r="I717" t="s">
        <v>822</v>
      </c>
      <c r="J717">
        <f t="shared" si="33"/>
        <v>-3</v>
      </c>
      <c r="K717" t="str">
        <f t="shared" si="34"/>
        <v>On-Time</v>
      </c>
      <c r="L717">
        <f t="shared" ca="1" si="35"/>
        <v>935</v>
      </c>
    </row>
    <row r="718" spans="1:12" x14ac:dyDescent="0.3">
      <c r="A718" t="s">
        <v>725</v>
      </c>
      <c r="B718" t="s">
        <v>813</v>
      </c>
      <c r="C718" s="3">
        <v>45246</v>
      </c>
      <c r="D718" s="3">
        <v>45276</v>
      </c>
      <c r="E718">
        <v>1865.16</v>
      </c>
      <c r="F718" t="s">
        <v>815</v>
      </c>
      <c r="G718" t="s">
        <v>820</v>
      </c>
      <c r="H718" s="3">
        <v>45279</v>
      </c>
      <c r="I718" t="s">
        <v>822</v>
      </c>
      <c r="J718">
        <f t="shared" si="33"/>
        <v>3</v>
      </c>
      <c r="K718" t="str">
        <f t="shared" si="34"/>
        <v>Late</v>
      </c>
      <c r="L718">
        <f t="shared" ca="1" si="35"/>
        <v>857</v>
      </c>
    </row>
    <row r="719" spans="1:12" x14ac:dyDescent="0.3">
      <c r="A719" t="s">
        <v>726</v>
      </c>
      <c r="B719" t="s">
        <v>810</v>
      </c>
      <c r="C719" s="3">
        <v>45005</v>
      </c>
      <c r="D719" s="3">
        <v>45035</v>
      </c>
      <c r="E719">
        <v>2554.81</v>
      </c>
      <c r="F719" t="s">
        <v>818</v>
      </c>
      <c r="G719" t="s">
        <v>821</v>
      </c>
      <c r="H719" s="3">
        <v>45035</v>
      </c>
      <c r="I719" t="s">
        <v>822</v>
      </c>
      <c r="J719">
        <f t="shared" si="33"/>
        <v>0</v>
      </c>
      <c r="K719" t="str">
        <f t="shared" si="34"/>
        <v>On-Time</v>
      </c>
      <c r="L719">
        <f t="shared" ca="1" si="35"/>
        <v>1098</v>
      </c>
    </row>
    <row r="720" spans="1:12" x14ac:dyDescent="0.3">
      <c r="A720" t="s">
        <v>727</v>
      </c>
      <c r="B720" t="s">
        <v>809</v>
      </c>
      <c r="C720" s="3">
        <v>45615</v>
      </c>
      <c r="D720" s="3">
        <v>45645</v>
      </c>
      <c r="E720">
        <v>4346.0600000000004</v>
      </c>
      <c r="F720" t="s">
        <v>816</v>
      </c>
      <c r="G720" t="s">
        <v>821</v>
      </c>
      <c r="H720" s="3">
        <v>45645</v>
      </c>
      <c r="I720" t="s">
        <v>822</v>
      </c>
      <c r="J720">
        <f t="shared" si="33"/>
        <v>0</v>
      </c>
      <c r="K720" t="str">
        <f t="shared" si="34"/>
        <v>On-Time</v>
      </c>
      <c r="L720">
        <f t="shared" ca="1" si="35"/>
        <v>488</v>
      </c>
    </row>
    <row r="721" spans="1:12" x14ac:dyDescent="0.3">
      <c r="A721" t="s">
        <v>728</v>
      </c>
      <c r="B721" t="s">
        <v>809</v>
      </c>
      <c r="C721" s="3">
        <v>45336</v>
      </c>
      <c r="D721" s="3">
        <v>45366</v>
      </c>
      <c r="E721">
        <v>3898.42</v>
      </c>
      <c r="F721" t="s">
        <v>816</v>
      </c>
      <c r="G721" t="s">
        <v>821</v>
      </c>
      <c r="H721" s="3">
        <v>45366</v>
      </c>
      <c r="I721" t="s">
        <v>822</v>
      </c>
      <c r="J721">
        <f t="shared" si="33"/>
        <v>0</v>
      </c>
      <c r="K721" t="str">
        <f t="shared" si="34"/>
        <v>On-Time</v>
      </c>
      <c r="L721">
        <f t="shared" ca="1" si="35"/>
        <v>767</v>
      </c>
    </row>
    <row r="722" spans="1:12" x14ac:dyDescent="0.3">
      <c r="A722" t="s">
        <v>729</v>
      </c>
      <c r="B722" t="s">
        <v>813</v>
      </c>
      <c r="C722" s="3">
        <v>45484</v>
      </c>
      <c r="D722" s="3">
        <v>45514</v>
      </c>
      <c r="E722">
        <v>4765.16</v>
      </c>
      <c r="F722" t="s">
        <v>814</v>
      </c>
      <c r="G722" t="s">
        <v>819</v>
      </c>
      <c r="H722" s="3">
        <v>45524</v>
      </c>
      <c r="I722" t="s">
        <v>822</v>
      </c>
      <c r="J722">
        <f t="shared" si="33"/>
        <v>10</v>
      </c>
      <c r="K722" t="str">
        <f t="shared" si="34"/>
        <v>Pending</v>
      </c>
      <c r="L722">
        <f t="shared" ca="1" si="35"/>
        <v>619</v>
      </c>
    </row>
    <row r="723" spans="1:12" x14ac:dyDescent="0.3">
      <c r="A723" t="s">
        <v>730</v>
      </c>
      <c r="B723" t="s">
        <v>811</v>
      </c>
      <c r="C723" s="3">
        <v>45487</v>
      </c>
      <c r="D723" s="3">
        <v>45517</v>
      </c>
      <c r="E723">
        <v>1994.49</v>
      </c>
      <c r="F723" t="s">
        <v>814</v>
      </c>
      <c r="G723" t="s">
        <v>819</v>
      </c>
      <c r="H723" s="3">
        <v>45515</v>
      </c>
      <c r="I723" t="s">
        <v>822</v>
      </c>
      <c r="J723">
        <f t="shared" si="33"/>
        <v>-2</v>
      </c>
      <c r="K723" t="str">
        <f t="shared" si="34"/>
        <v>Pending</v>
      </c>
      <c r="L723">
        <f t="shared" ca="1" si="35"/>
        <v>616</v>
      </c>
    </row>
    <row r="724" spans="1:12" x14ac:dyDescent="0.3">
      <c r="A724" t="s">
        <v>731</v>
      </c>
      <c r="B724" t="s">
        <v>810</v>
      </c>
      <c r="C724" s="3">
        <v>44989</v>
      </c>
      <c r="D724" s="3">
        <v>45019</v>
      </c>
      <c r="E724">
        <v>4230.24</v>
      </c>
      <c r="F724" t="s">
        <v>816</v>
      </c>
      <c r="G724" t="s">
        <v>819</v>
      </c>
      <c r="H724" s="3">
        <v>45019</v>
      </c>
      <c r="I724" t="s">
        <v>822</v>
      </c>
      <c r="J724">
        <f t="shared" si="33"/>
        <v>0</v>
      </c>
      <c r="K724" t="str">
        <f t="shared" si="34"/>
        <v>Pending</v>
      </c>
      <c r="L724">
        <f t="shared" ca="1" si="35"/>
        <v>1114</v>
      </c>
    </row>
    <row r="725" spans="1:12" x14ac:dyDescent="0.3">
      <c r="A725" t="s">
        <v>732</v>
      </c>
      <c r="B725" t="s">
        <v>811</v>
      </c>
      <c r="C725" s="3">
        <v>45556</v>
      </c>
      <c r="D725" s="3">
        <v>45586</v>
      </c>
      <c r="E725">
        <v>1606.15</v>
      </c>
      <c r="F725" t="s">
        <v>815</v>
      </c>
      <c r="G725" t="s">
        <v>820</v>
      </c>
      <c r="H725" s="3">
        <v>45586</v>
      </c>
      <c r="I725" t="s">
        <v>822</v>
      </c>
      <c r="J725">
        <f t="shared" si="33"/>
        <v>0</v>
      </c>
      <c r="K725" t="str">
        <f t="shared" si="34"/>
        <v>On-Time</v>
      </c>
      <c r="L725">
        <f t="shared" ca="1" si="35"/>
        <v>547</v>
      </c>
    </row>
    <row r="726" spans="1:12" x14ac:dyDescent="0.3">
      <c r="A726" t="s">
        <v>733</v>
      </c>
      <c r="B726" t="s">
        <v>812</v>
      </c>
      <c r="C726" s="3">
        <v>45562</v>
      </c>
      <c r="D726" s="3">
        <v>45592</v>
      </c>
      <c r="E726">
        <v>158.24</v>
      </c>
      <c r="F726" t="s">
        <v>818</v>
      </c>
      <c r="G726" t="s">
        <v>819</v>
      </c>
      <c r="H726" s="3">
        <v>45593</v>
      </c>
      <c r="I726" t="s">
        <v>822</v>
      </c>
      <c r="J726">
        <f t="shared" si="33"/>
        <v>1</v>
      </c>
      <c r="K726" t="str">
        <f t="shared" si="34"/>
        <v>Pending</v>
      </c>
      <c r="L726">
        <f t="shared" ca="1" si="35"/>
        <v>541</v>
      </c>
    </row>
    <row r="727" spans="1:12" x14ac:dyDescent="0.3">
      <c r="A727" t="s">
        <v>734</v>
      </c>
      <c r="B727" t="s">
        <v>810</v>
      </c>
      <c r="C727" s="3">
        <v>45130</v>
      </c>
      <c r="D727" s="3">
        <v>45160</v>
      </c>
      <c r="E727">
        <v>4538.8900000000003</v>
      </c>
      <c r="F727" t="s">
        <v>815</v>
      </c>
      <c r="G727" t="s">
        <v>821</v>
      </c>
      <c r="H727" s="3">
        <v>45160</v>
      </c>
      <c r="I727" t="s">
        <v>822</v>
      </c>
      <c r="J727">
        <f t="shared" si="33"/>
        <v>0</v>
      </c>
      <c r="K727" t="str">
        <f t="shared" si="34"/>
        <v>On-Time</v>
      </c>
      <c r="L727">
        <f t="shared" ca="1" si="35"/>
        <v>973</v>
      </c>
    </row>
    <row r="728" spans="1:12" x14ac:dyDescent="0.3">
      <c r="A728" t="s">
        <v>735</v>
      </c>
      <c r="B728" t="s">
        <v>813</v>
      </c>
      <c r="C728" s="3">
        <v>45603</v>
      </c>
      <c r="D728" s="3">
        <v>45633</v>
      </c>
      <c r="E728">
        <v>204.27</v>
      </c>
      <c r="F728" t="s">
        <v>814</v>
      </c>
      <c r="G728" t="s">
        <v>819</v>
      </c>
      <c r="H728" s="3">
        <v>45639</v>
      </c>
      <c r="I728" t="s">
        <v>822</v>
      </c>
      <c r="J728">
        <f t="shared" si="33"/>
        <v>6</v>
      </c>
      <c r="K728" t="str">
        <f t="shared" si="34"/>
        <v>Pending</v>
      </c>
      <c r="L728">
        <f t="shared" ca="1" si="35"/>
        <v>500</v>
      </c>
    </row>
    <row r="729" spans="1:12" x14ac:dyDescent="0.3">
      <c r="A729" t="s">
        <v>736</v>
      </c>
      <c r="B729" t="s">
        <v>811</v>
      </c>
      <c r="C729" s="3">
        <v>45127</v>
      </c>
      <c r="D729" s="3">
        <v>45157</v>
      </c>
      <c r="E729">
        <v>3257.13</v>
      </c>
      <c r="F729" t="s">
        <v>816</v>
      </c>
      <c r="G729" t="s">
        <v>820</v>
      </c>
      <c r="H729" s="3">
        <v>45161</v>
      </c>
      <c r="I729" t="s">
        <v>822</v>
      </c>
      <c r="J729">
        <f t="shared" si="33"/>
        <v>4</v>
      </c>
      <c r="K729" t="str">
        <f t="shared" si="34"/>
        <v>Late</v>
      </c>
      <c r="L729">
        <f t="shared" ca="1" si="35"/>
        <v>976</v>
      </c>
    </row>
    <row r="730" spans="1:12" x14ac:dyDescent="0.3">
      <c r="A730" t="s">
        <v>737</v>
      </c>
      <c r="B730" t="s">
        <v>809</v>
      </c>
      <c r="C730" s="3">
        <v>45575</v>
      </c>
      <c r="D730" s="3">
        <v>45605</v>
      </c>
      <c r="E730">
        <v>488.64</v>
      </c>
      <c r="F730" t="s">
        <v>818</v>
      </c>
      <c r="G730" t="s">
        <v>821</v>
      </c>
      <c r="H730" s="3">
        <v>45605</v>
      </c>
      <c r="I730" t="s">
        <v>822</v>
      </c>
      <c r="J730">
        <f t="shared" si="33"/>
        <v>0</v>
      </c>
      <c r="K730" t="str">
        <f t="shared" si="34"/>
        <v>On-Time</v>
      </c>
      <c r="L730">
        <f t="shared" ca="1" si="35"/>
        <v>528</v>
      </c>
    </row>
    <row r="731" spans="1:12" x14ac:dyDescent="0.3">
      <c r="A731" t="s">
        <v>738</v>
      </c>
      <c r="B731" t="s">
        <v>811</v>
      </c>
      <c r="C731" s="3">
        <v>45239</v>
      </c>
      <c r="D731" s="3">
        <v>45269</v>
      </c>
      <c r="E731">
        <v>2790.33</v>
      </c>
      <c r="F731" t="s">
        <v>816</v>
      </c>
      <c r="G731" t="s">
        <v>820</v>
      </c>
      <c r="H731" s="3">
        <v>45267</v>
      </c>
      <c r="I731" t="s">
        <v>822</v>
      </c>
      <c r="J731">
        <f t="shared" si="33"/>
        <v>-2</v>
      </c>
      <c r="K731" t="str">
        <f t="shared" si="34"/>
        <v>On-Time</v>
      </c>
      <c r="L731">
        <f t="shared" ca="1" si="35"/>
        <v>864</v>
      </c>
    </row>
    <row r="732" spans="1:12" x14ac:dyDescent="0.3">
      <c r="A732" t="s">
        <v>739</v>
      </c>
      <c r="B732" t="s">
        <v>809</v>
      </c>
      <c r="C732" s="3">
        <v>45187</v>
      </c>
      <c r="D732" s="3">
        <v>45217</v>
      </c>
      <c r="E732">
        <v>1246.1199999999999</v>
      </c>
      <c r="F732" t="s">
        <v>815</v>
      </c>
      <c r="G732" t="s">
        <v>820</v>
      </c>
      <c r="H732" s="3">
        <v>45225</v>
      </c>
      <c r="I732" t="s">
        <v>822</v>
      </c>
      <c r="J732">
        <f t="shared" si="33"/>
        <v>8</v>
      </c>
      <c r="K732" t="str">
        <f t="shared" si="34"/>
        <v>Late</v>
      </c>
      <c r="L732">
        <f t="shared" ca="1" si="35"/>
        <v>916</v>
      </c>
    </row>
    <row r="733" spans="1:12" x14ac:dyDescent="0.3">
      <c r="A733" t="s">
        <v>740</v>
      </c>
      <c r="B733" t="s">
        <v>810</v>
      </c>
      <c r="C733" s="3">
        <v>45471</v>
      </c>
      <c r="D733" s="3">
        <v>45501</v>
      </c>
      <c r="E733">
        <v>2390.31</v>
      </c>
      <c r="F733" t="s">
        <v>817</v>
      </c>
      <c r="G733" t="s">
        <v>819</v>
      </c>
      <c r="H733" s="3">
        <v>45502</v>
      </c>
      <c r="I733" t="s">
        <v>822</v>
      </c>
      <c r="J733">
        <f t="shared" si="33"/>
        <v>1</v>
      </c>
      <c r="K733" t="str">
        <f t="shared" si="34"/>
        <v>Pending</v>
      </c>
      <c r="L733">
        <f t="shared" ca="1" si="35"/>
        <v>632</v>
      </c>
    </row>
    <row r="734" spans="1:12" x14ac:dyDescent="0.3">
      <c r="A734" t="s">
        <v>741</v>
      </c>
      <c r="B734" t="s">
        <v>811</v>
      </c>
      <c r="C734" s="3">
        <v>45303</v>
      </c>
      <c r="D734" s="3">
        <v>45333</v>
      </c>
      <c r="E734">
        <v>3697.86</v>
      </c>
      <c r="F734" t="s">
        <v>814</v>
      </c>
      <c r="G734" t="s">
        <v>820</v>
      </c>
      <c r="H734" s="3">
        <v>45332</v>
      </c>
      <c r="I734" t="s">
        <v>822</v>
      </c>
      <c r="J734">
        <f t="shared" si="33"/>
        <v>-1</v>
      </c>
      <c r="K734" t="str">
        <f t="shared" si="34"/>
        <v>On-Time</v>
      </c>
      <c r="L734">
        <f t="shared" ca="1" si="35"/>
        <v>800</v>
      </c>
    </row>
    <row r="735" spans="1:12" x14ac:dyDescent="0.3">
      <c r="A735" t="s">
        <v>742</v>
      </c>
      <c r="B735" t="s">
        <v>809</v>
      </c>
      <c r="C735" s="3">
        <v>45804</v>
      </c>
      <c r="D735" s="3">
        <v>45834</v>
      </c>
      <c r="E735">
        <v>3404.52</v>
      </c>
      <c r="F735" t="s">
        <v>816</v>
      </c>
      <c r="G735" t="s">
        <v>819</v>
      </c>
      <c r="H735" s="3">
        <v>45839</v>
      </c>
      <c r="I735" t="s">
        <v>822</v>
      </c>
      <c r="J735">
        <f t="shared" si="33"/>
        <v>5</v>
      </c>
      <c r="K735" t="str">
        <f t="shared" si="34"/>
        <v>Pending</v>
      </c>
      <c r="L735">
        <f t="shared" ca="1" si="35"/>
        <v>299</v>
      </c>
    </row>
    <row r="736" spans="1:12" x14ac:dyDescent="0.3">
      <c r="A736" t="s">
        <v>743</v>
      </c>
      <c r="B736" t="s">
        <v>811</v>
      </c>
      <c r="C736" s="3">
        <v>45709</v>
      </c>
      <c r="D736" s="3">
        <v>45739</v>
      </c>
      <c r="E736">
        <v>3730.17</v>
      </c>
      <c r="F736" t="s">
        <v>816</v>
      </c>
      <c r="G736" t="s">
        <v>819</v>
      </c>
      <c r="H736" s="3">
        <v>45748</v>
      </c>
      <c r="I736" t="s">
        <v>822</v>
      </c>
      <c r="J736">
        <f t="shared" si="33"/>
        <v>9</v>
      </c>
      <c r="K736" t="str">
        <f t="shared" si="34"/>
        <v>Pending</v>
      </c>
      <c r="L736">
        <f t="shared" ca="1" si="35"/>
        <v>394</v>
      </c>
    </row>
    <row r="737" spans="1:12" x14ac:dyDescent="0.3">
      <c r="A737" t="s">
        <v>744</v>
      </c>
      <c r="B737" t="s">
        <v>813</v>
      </c>
      <c r="C737" s="3">
        <v>45772</v>
      </c>
      <c r="D737" s="3">
        <v>45802</v>
      </c>
      <c r="E737">
        <v>199.45</v>
      </c>
      <c r="F737" t="s">
        <v>818</v>
      </c>
      <c r="G737" t="s">
        <v>820</v>
      </c>
      <c r="H737" s="3">
        <v>45812</v>
      </c>
      <c r="I737" t="s">
        <v>822</v>
      </c>
      <c r="J737">
        <f t="shared" si="33"/>
        <v>10</v>
      </c>
      <c r="K737" t="str">
        <f t="shared" si="34"/>
        <v>Late</v>
      </c>
      <c r="L737">
        <f t="shared" ca="1" si="35"/>
        <v>331</v>
      </c>
    </row>
    <row r="738" spans="1:12" x14ac:dyDescent="0.3">
      <c r="A738" t="s">
        <v>745</v>
      </c>
      <c r="B738" t="s">
        <v>811</v>
      </c>
      <c r="C738" s="3">
        <v>45646</v>
      </c>
      <c r="D738" s="3">
        <v>45676</v>
      </c>
      <c r="E738">
        <v>4466.8</v>
      </c>
      <c r="F738" t="s">
        <v>818</v>
      </c>
      <c r="G738" t="s">
        <v>819</v>
      </c>
      <c r="H738" s="3">
        <v>45676</v>
      </c>
      <c r="I738" t="s">
        <v>822</v>
      </c>
      <c r="J738">
        <f t="shared" si="33"/>
        <v>0</v>
      </c>
      <c r="K738" t="str">
        <f t="shared" si="34"/>
        <v>Pending</v>
      </c>
      <c r="L738">
        <f t="shared" ca="1" si="35"/>
        <v>457</v>
      </c>
    </row>
    <row r="739" spans="1:12" x14ac:dyDescent="0.3">
      <c r="A739" t="s">
        <v>746</v>
      </c>
      <c r="B739" t="s">
        <v>812</v>
      </c>
      <c r="C739" s="3">
        <v>45805</v>
      </c>
      <c r="D739" s="3">
        <v>45835</v>
      </c>
      <c r="E739">
        <v>4368.08</v>
      </c>
      <c r="F739" t="s">
        <v>816</v>
      </c>
      <c r="G739" t="s">
        <v>821</v>
      </c>
      <c r="H739" s="3">
        <v>45835</v>
      </c>
      <c r="I739" t="s">
        <v>822</v>
      </c>
      <c r="J739">
        <f t="shared" si="33"/>
        <v>0</v>
      </c>
      <c r="K739" t="str">
        <f t="shared" si="34"/>
        <v>On-Time</v>
      </c>
      <c r="L739">
        <f t="shared" ca="1" si="35"/>
        <v>298</v>
      </c>
    </row>
    <row r="740" spans="1:12" x14ac:dyDescent="0.3">
      <c r="A740" t="s">
        <v>747</v>
      </c>
      <c r="B740" t="s">
        <v>809</v>
      </c>
      <c r="C740" s="3">
        <v>45269</v>
      </c>
      <c r="D740" s="3">
        <v>45299</v>
      </c>
      <c r="E740">
        <v>2910.39</v>
      </c>
      <c r="F740" t="s">
        <v>814</v>
      </c>
      <c r="G740" t="s">
        <v>821</v>
      </c>
      <c r="H740" s="3">
        <v>45299</v>
      </c>
      <c r="I740" t="s">
        <v>822</v>
      </c>
      <c r="J740">
        <f t="shared" si="33"/>
        <v>0</v>
      </c>
      <c r="K740" t="str">
        <f t="shared" si="34"/>
        <v>On-Time</v>
      </c>
      <c r="L740">
        <f t="shared" ca="1" si="35"/>
        <v>834</v>
      </c>
    </row>
    <row r="741" spans="1:12" x14ac:dyDescent="0.3">
      <c r="A741" t="s">
        <v>748</v>
      </c>
      <c r="B741" t="s">
        <v>810</v>
      </c>
      <c r="C741" s="3">
        <v>45007</v>
      </c>
      <c r="D741" s="3">
        <v>45037</v>
      </c>
      <c r="E741">
        <v>3087.9</v>
      </c>
      <c r="F741" t="s">
        <v>815</v>
      </c>
      <c r="G741" t="s">
        <v>821</v>
      </c>
      <c r="H741" s="3">
        <v>45037</v>
      </c>
      <c r="I741" t="s">
        <v>822</v>
      </c>
      <c r="J741">
        <f t="shared" si="33"/>
        <v>0</v>
      </c>
      <c r="K741" t="str">
        <f t="shared" si="34"/>
        <v>On-Time</v>
      </c>
      <c r="L741">
        <f t="shared" ca="1" si="35"/>
        <v>1096</v>
      </c>
    </row>
    <row r="742" spans="1:12" x14ac:dyDescent="0.3">
      <c r="A742" t="s">
        <v>749</v>
      </c>
      <c r="B742" t="s">
        <v>811</v>
      </c>
      <c r="C742" s="3">
        <v>45183</v>
      </c>
      <c r="D742" s="3">
        <v>45213</v>
      </c>
      <c r="E742">
        <v>3956.78</v>
      </c>
      <c r="F742" t="s">
        <v>815</v>
      </c>
      <c r="G742" t="s">
        <v>821</v>
      </c>
      <c r="H742" s="3">
        <v>45213</v>
      </c>
      <c r="I742" t="s">
        <v>822</v>
      </c>
      <c r="J742">
        <f t="shared" si="33"/>
        <v>0</v>
      </c>
      <c r="K742" t="str">
        <f t="shared" si="34"/>
        <v>On-Time</v>
      </c>
      <c r="L742">
        <f t="shared" ca="1" si="35"/>
        <v>920</v>
      </c>
    </row>
    <row r="743" spans="1:12" x14ac:dyDescent="0.3">
      <c r="A743" t="s">
        <v>750</v>
      </c>
      <c r="B743" t="s">
        <v>810</v>
      </c>
      <c r="C743" s="3">
        <v>45222</v>
      </c>
      <c r="D743" s="3">
        <v>45252</v>
      </c>
      <c r="E743">
        <v>1173.72</v>
      </c>
      <c r="F743" t="s">
        <v>815</v>
      </c>
      <c r="G743" t="s">
        <v>821</v>
      </c>
      <c r="H743" s="3">
        <v>45252</v>
      </c>
      <c r="I743" t="s">
        <v>822</v>
      </c>
      <c r="J743">
        <f t="shared" si="33"/>
        <v>0</v>
      </c>
      <c r="K743" t="str">
        <f t="shared" si="34"/>
        <v>On-Time</v>
      </c>
      <c r="L743">
        <f t="shared" ca="1" si="35"/>
        <v>881</v>
      </c>
    </row>
    <row r="744" spans="1:12" x14ac:dyDescent="0.3">
      <c r="A744" t="s">
        <v>751</v>
      </c>
      <c r="B744" t="s">
        <v>810</v>
      </c>
      <c r="C744" s="3">
        <v>45359</v>
      </c>
      <c r="D744" s="3">
        <v>45389</v>
      </c>
      <c r="E744">
        <v>3885.28</v>
      </c>
      <c r="F744" t="s">
        <v>816</v>
      </c>
      <c r="G744" t="s">
        <v>821</v>
      </c>
      <c r="H744" s="3">
        <v>45389</v>
      </c>
      <c r="I744" t="s">
        <v>822</v>
      </c>
      <c r="J744">
        <f t="shared" si="33"/>
        <v>0</v>
      </c>
      <c r="K744" t="str">
        <f t="shared" si="34"/>
        <v>On-Time</v>
      </c>
      <c r="L744">
        <f t="shared" ca="1" si="35"/>
        <v>744</v>
      </c>
    </row>
    <row r="745" spans="1:12" x14ac:dyDescent="0.3">
      <c r="A745" t="s">
        <v>752</v>
      </c>
      <c r="B745" t="s">
        <v>812</v>
      </c>
      <c r="C745" s="3">
        <v>45268</v>
      </c>
      <c r="D745" s="3">
        <v>45298</v>
      </c>
      <c r="E745">
        <v>211.34</v>
      </c>
      <c r="F745" t="s">
        <v>817</v>
      </c>
      <c r="G745" t="s">
        <v>819</v>
      </c>
      <c r="H745" s="3">
        <v>45307</v>
      </c>
      <c r="I745" t="s">
        <v>822</v>
      </c>
      <c r="J745">
        <f t="shared" si="33"/>
        <v>9</v>
      </c>
      <c r="K745" t="str">
        <f t="shared" si="34"/>
        <v>Pending</v>
      </c>
      <c r="L745">
        <f t="shared" ca="1" si="35"/>
        <v>835</v>
      </c>
    </row>
    <row r="746" spans="1:12" x14ac:dyDescent="0.3">
      <c r="A746" t="s">
        <v>753</v>
      </c>
      <c r="B746" t="s">
        <v>813</v>
      </c>
      <c r="C746" s="3">
        <v>44983</v>
      </c>
      <c r="D746" s="3">
        <v>45013</v>
      </c>
      <c r="E746">
        <v>1345.89</v>
      </c>
      <c r="F746" t="s">
        <v>818</v>
      </c>
      <c r="G746" t="s">
        <v>821</v>
      </c>
      <c r="H746" s="3">
        <v>45013</v>
      </c>
      <c r="I746" t="s">
        <v>822</v>
      </c>
      <c r="J746">
        <f t="shared" si="33"/>
        <v>0</v>
      </c>
      <c r="K746" t="str">
        <f t="shared" si="34"/>
        <v>On-Time</v>
      </c>
      <c r="L746">
        <f t="shared" ca="1" si="35"/>
        <v>1120</v>
      </c>
    </row>
    <row r="747" spans="1:12" x14ac:dyDescent="0.3">
      <c r="A747" t="s">
        <v>754</v>
      </c>
      <c r="B747" t="s">
        <v>811</v>
      </c>
      <c r="C747" s="3">
        <v>45283</v>
      </c>
      <c r="D747" s="3">
        <v>45313</v>
      </c>
      <c r="E747">
        <v>4777.7299999999996</v>
      </c>
      <c r="F747" t="s">
        <v>814</v>
      </c>
      <c r="G747" t="s">
        <v>820</v>
      </c>
      <c r="H747" s="3">
        <v>45316</v>
      </c>
      <c r="I747" t="s">
        <v>822</v>
      </c>
      <c r="J747">
        <f t="shared" si="33"/>
        <v>3</v>
      </c>
      <c r="K747" t="str">
        <f t="shared" si="34"/>
        <v>Late</v>
      </c>
      <c r="L747">
        <f t="shared" ca="1" si="35"/>
        <v>820</v>
      </c>
    </row>
    <row r="748" spans="1:12" x14ac:dyDescent="0.3">
      <c r="A748" t="s">
        <v>755</v>
      </c>
      <c r="B748" t="s">
        <v>809</v>
      </c>
      <c r="C748" s="3">
        <v>45194</v>
      </c>
      <c r="D748" s="3">
        <v>45224</v>
      </c>
      <c r="E748">
        <v>3137.33</v>
      </c>
      <c r="F748" t="s">
        <v>818</v>
      </c>
      <c r="G748" t="s">
        <v>819</v>
      </c>
      <c r="H748" s="3">
        <v>45228</v>
      </c>
      <c r="I748" t="s">
        <v>822</v>
      </c>
      <c r="J748">
        <f t="shared" si="33"/>
        <v>4</v>
      </c>
      <c r="K748" t="str">
        <f t="shared" si="34"/>
        <v>Pending</v>
      </c>
      <c r="L748">
        <f t="shared" ca="1" si="35"/>
        <v>909</v>
      </c>
    </row>
    <row r="749" spans="1:12" x14ac:dyDescent="0.3">
      <c r="A749" t="s">
        <v>756</v>
      </c>
      <c r="B749" t="s">
        <v>812</v>
      </c>
      <c r="C749" s="3">
        <v>45488</v>
      </c>
      <c r="D749" s="3">
        <v>45518</v>
      </c>
      <c r="E749">
        <v>4831.5200000000004</v>
      </c>
      <c r="F749" t="s">
        <v>814</v>
      </c>
      <c r="G749" t="s">
        <v>820</v>
      </c>
      <c r="H749" s="3">
        <v>45527</v>
      </c>
      <c r="I749" t="s">
        <v>822</v>
      </c>
      <c r="J749">
        <f t="shared" si="33"/>
        <v>9</v>
      </c>
      <c r="K749" t="str">
        <f t="shared" si="34"/>
        <v>Late</v>
      </c>
      <c r="L749">
        <f t="shared" ca="1" si="35"/>
        <v>615</v>
      </c>
    </row>
    <row r="750" spans="1:12" x14ac:dyDescent="0.3">
      <c r="A750" t="s">
        <v>757</v>
      </c>
      <c r="B750" t="s">
        <v>809</v>
      </c>
      <c r="C750" s="3">
        <v>45321</v>
      </c>
      <c r="D750" s="3">
        <v>45351</v>
      </c>
      <c r="E750">
        <v>1343.46</v>
      </c>
      <c r="F750" t="s">
        <v>815</v>
      </c>
      <c r="G750" t="s">
        <v>820</v>
      </c>
      <c r="H750" s="3">
        <v>45360</v>
      </c>
      <c r="I750" t="s">
        <v>822</v>
      </c>
      <c r="J750">
        <f t="shared" si="33"/>
        <v>9</v>
      </c>
      <c r="K750" t="str">
        <f t="shared" si="34"/>
        <v>Late</v>
      </c>
      <c r="L750">
        <f t="shared" ca="1" si="35"/>
        <v>782</v>
      </c>
    </row>
    <row r="751" spans="1:12" x14ac:dyDescent="0.3">
      <c r="A751" t="s">
        <v>758</v>
      </c>
      <c r="B751" t="s">
        <v>809</v>
      </c>
      <c r="C751" s="3">
        <v>44993</v>
      </c>
      <c r="D751" s="3">
        <v>45023</v>
      </c>
      <c r="E751">
        <v>3815.88</v>
      </c>
      <c r="F751" t="s">
        <v>815</v>
      </c>
      <c r="G751" t="s">
        <v>820</v>
      </c>
      <c r="H751" s="3">
        <v>45033</v>
      </c>
      <c r="I751" t="s">
        <v>822</v>
      </c>
      <c r="J751">
        <f t="shared" si="33"/>
        <v>10</v>
      </c>
      <c r="K751" t="str">
        <f t="shared" si="34"/>
        <v>Late</v>
      </c>
      <c r="L751">
        <f t="shared" ca="1" si="35"/>
        <v>1110</v>
      </c>
    </row>
    <row r="752" spans="1:12" x14ac:dyDescent="0.3">
      <c r="A752" t="s">
        <v>759</v>
      </c>
      <c r="B752" t="s">
        <v>811</v>
      </c>
      <c r="C752" s="3">
        <v>45054</v>
      </c>
      <c r="D752" s="3">
        <v>45084</v>
      </c>
      <c r="E752">
        <v>3428.98</v>
      </c>
      <c r="F752" t="s">
        <v>816</v>
      </c>
      <c r="G752" t="s">
        <v>821</v>
      </c>
      <c r="H752" s="3">
        <v>45084</v>
      </c>
      <c r="I752" t="s">
        <v>822</v>
      </c>
      <c r="J752">
        <f t="shared" si="33"/>
        <v>0</v>
      </c>
      <c r="K752" t="str">
        <f t="shared" si="34"/>
        <v>On-Time</v>
      </c>
      <c r="L752">
        <f t="shared" ca="1" si="35"/>
        <v>1049</v>
      </c>
    </row>
    <row r="753" spans="1:12" x14ac:dyDescent="0.3">
      <c r="A753" t="s">
        <v>760</v>
      </c>
      <c r="B753" t="s">
        <v>809</v>
      </c>
      <c r="C753" s="3">
        <v>45395</v>
      </c>
      <c r="D753" s="3">
        <v>45425</v>
      </c>
      <c r="E753">
        <v>1265.55</v>
      </c>
      <c r="F753" t="s">
        <v>816</v>
      </c>
      <c r="G753" t="s">
        <v>820</v>
      </c>
      <c r="H753" s="3">
        <v>45425</v>
      </c>
      <c r="I753" t="s">
        <v>822</v>
      </c>
      <c r="J753">
        <f t="shared" si="33"/>
        <v>0</v>
      </c>
      <c r="K753" t="str">
        <f t="shared" si="34"/>
        <v>On-Time</v>
      </c>
      <c r="L753">
        <f t="shared" ca="1" si="35"/>
        <v>708</v>
      </c>
    </row>
    <row r="754" spans="1:12" x14ac:dyDescent="0.3">
      <c r="A754" t="s">
        <v>761</v>
      </c>
      <c r="B754" t="s">
        <v>812</v>
      </c>
      <c r="C754" s="3">
        <v>45262</v>
      </c>
      <c r="D754" s="3">
        <v>45292</v>
      </c>
      <c r="E754">
        <v>1377.49</v>
      </c>
      <c r="F754" t="s">
        <v>818</v>
      </c>
      <c r="G754" t="s">
        <v>821</v>
      </c>
      <c r="H754" s="3">
        <v>45292</v>
      </c>
      <c r="I754" t="s">
        <v>822</v>
      </c>
      <c r="J754">
        <f t="shared" si="33"/>
        <v>0</v>
      </c>
      <c r="K754" t="str">
        <f t="shared" si="34"/>
        <v>On-Time</v>
      </c>
      <c r="L754">
        <f t="shared" ca="1" si="35"/>
        <v>841</v>
      </c>
    </row>
    <row r="755" spans="1:12" x14ac:dyDescent="0.3">
      <c r="A755" t="s">
        <v>762</v>
      </c>
      <c r="B755" t="s">
        <v>809</v>
      </c>
      <c r="C755" s="3">
        <v>45535</v>
      </c>
      <c r="D755" s="3">
        <v>45565</v>
      </c>
      <c r="E755">
        <v>2125.3000000000002</v>
      </c>
      <c r="F755" t="s">
        <v>814</v>
      </c>
      <c r="G755" t="s">
        <v>820</v>
      </c>
      <c r="H755" s="3">
        <v>45575</v>
      </c>
      <c r="I755" t="s">
        <v>822</v>
      </c>
      <c r="J755">
        <f t="shared" si="33"/>
        <v>10</v>
      </c>
      <c r="K755" t="str">
        <f t="shared" si="34"/>
        <v>Late</v>
      </c>
      <c r="L755">
        <f t="shared" ca="1" si="35"/>
        <v>568</v>
      </c>
    </row>
    <row r="756" spans="1:12" x14ac:dyDescent="0.3">
      <c r="A756" t="s">
        <v>763</v>
      </c>
      <c r="B756" t="s">
        <v>810</v>
      </c>
      <c r="C756" s="3">
        <v>45408</v>
      </c>
      <c r="D756" s="3">
        <v>45438</v>
      </c>
      <c r="E756">
        <v>2582.08</v>
      </c>
      <c r="F756" t="s">
        <v>816</v>
      </c>
      <c r="G756" t="s">
        <v>821</v>
      </c>
      <c r="H756" s="3">
        <v>45438</v>
      </c>
      <c r="I756" t="s">
        <v>822</v>
      </c>
      <c r="J756">
        <f t="shared" si="33"/>
        <v>0</v>
      </c>
      <c r="K756" t="str">
        <f t="shared" si="34"/>
        <v>On-Time</v>
      </c>
      <c r="L756">
        <f t="shared" ca="1" si="35"/>
        <v>695</v>
      </c>
    </row>
    <row r="757" spans="1:12" x14ac:dyDescent="0.3">
      <c r="A757" t="s">
        <v>764</v>
      </c>
      <c r="B757" t="s">
        <v>813</v>
      </c>
      <c r="C757" s="3">
        <v>45707</v>
      </c>
      <c r="D757" s="3">
        <v>45737</v>
      </c>
      <c r="E757">
        <v>1722.33</v>
      </c>
      <c r="F757" t="s">
        <v>816</v>
      </c>
      <c r="G757" t="s">
        <v>821</v>
      </c>
      <c r="H757" s="3">
        <v>45737</v>
      </c>
      <c r="I757" t="s">
        <v>822</v>
      </c>
      <c r="J757">
        <f t="shared" si="33"/>
        <v>0</v>
      </c>
      <c r="K757" t="str">
        <f t="shared" si="34"/>
        <v>On-Time</v>
      </c>
      <c r="L757">
        <f t="shared" ca="1" si="35"/>
        <v>396</v>
      </c>
    </row>
    <row r="758" spans="1:12" x14ac:dyDescent="0.3">
      <c r="A758" t="s">
        <v>765</v>
      </c>
      <c r="B758" t="s">
        <v>813</v>
      </c>
      <c r="C758" s="3">
        <v>45613</v>
      </c>
      <c r="D758" s="3">
        <v>45643</v>
      </c>
      <c r="E758">
        <v>4374.09</v>
      </c>
      <c r="F758" t="s">
        <v>814</v>
      </c>
      <c r="G758" t="s">
        <v>820</v>
      </c>
      <c r="H758" s="3">
        <v>45646</v>
      </c>
      <c r="I758" t="s">
        <v>822</v>
      </c>
      <c r="J758">
        <f t="shared" si="33"/>
        <v>3</v>
      </c>
      <c r="K758" t="str">
        <f t="shared" si="34"/>
        <v>Late</v>
      </c>
      <c r="L758">
        <f t="shared" ca="1" si="35"/>
        <v>490</v>
      </c>
    </row>
    <row r="759" spans="1:12" x14ac:dyDescent="0.3">
      <c r="A759" t="s">
        <v>766</v>
      </c>
      <c r="B759" t="s">
        <v>809</v>
      </c>
      <c r="C759" s="3">
        <v>45162</v>
      </c>
      <c r="D759" s="3">
        <v>45192</v>
      </c>
      <c r="E759">
        <v>3289.59</v>
      </c>
      <c r="F759" t="s">
        <v>815</v>
      </c>
      <c r="G759" t="s">
        <v>819</v>
      </c>
      <c r="H759" s="3">
        <v>45193</v>
      </c>
      <c r="I759" t="s">
        <v>822</v>
      </c>
      <c r="J759">
        <f t="shared" si="33"/>
        <v>1</v>
      </c>
      <c r="K759" t="str">
        <f t="shared" si="34"/>
        <v>Pending</v>
      </c>
      <c r="L759">
        <f t="shared" ca="1" si="35"/>
        <v>941</v>
      </c>
    </row>
    <row r="760" spans="1:12" x14ac:dyDescent="0.3">
      <c r="A760" t="s">
        <v>767</v>
      </c>
      <c r="B760" t="s">
        <v>811</v>
      </c>
      <c r="C760" s="3">
        <v>45301</v>
      </c>
      <c r="D760" s="3">
        <v>45331</v>
      </c>
      <c r="E760">
        <v>2204.2800000000002</v>
      </c>
      <c r="F760" t="s">
        <v>817</v>
      </c>
      <c r="G760" t="s">
        <v>821</v>
      </c>
      <c r="H760" s="3">
        <v>45331</v>
      </c>
      <c r="I760" t="s">
        <v>822</v>
      </c>
      <c r="J760">
        <f t="shared" si="33"/>
        <v>0</v>
      </c>
      <c r="K760" t="str">
        <f t="shared" si="34"/>
        <v>On-Time</v>
      </c>
      <c r="L760">
        <f t="shared" ca="1" si="35"/>
        <v>802</v>
      </c>
    </row>
    <row r="761" spans="1:12" x14ac:dyDescent="0.3">
      <c r="A761" t="s">
        <v>768</v>
      </c>
      <c r="B761" t="s">
        <v>811</v>
      </c>
      <c r="C761" s="3">
        <v>45340</v>
      </c>
      <c r="D761" s="3">
        <v>45370</v>
      </c>
      <c r="E761">
        <v>3457.45</v>
      </c>
      <c r="F761" t="s">
        <v>816</v>
      </c>
      <c r="G761" t="s">
        <v>819</v>
      </c>
      <c r="H761" s="3">
        <v>45368</v>
      </c>
      <c r="I761" t="s">
        <v>822</v>
      </c>
      <c r="J761">
        <f t="shared" si="33"/>
        <v>-2</v>
      </c>
      <c r="K761" t="str">
        <f t="shared" si="34"/>
        <v>Pending</v>
      </c>
      <c r="L761">
        <f t="shared" ca="1" si="35"/>
        <v>763</v>
      </c>
    </row>
    <row r="762" spans="1:12" x14ac:dyDescent="0.3">
      <c r="A762" t="s">
        <v>769</v>
      </c>
      <c r="B762" t="s">
        <v>813</v>
      </c>
      <c r="C762" s="3">
        <v>45054</v>
      </c>
      <c r="D762" s="3">
        <v>45084</v>
      </c>
      <c r="E762">
        <v>2571.9</v>
      </c>
      <c r="F762" t="s">
        <v>817</v>
      </c>
      <c r="G762" t="s">
        <v>821</v>
      </c>
      <c r="H762" s="3">
        <v>45084</v>
      </c>
      <c r="I762" t="s">
        <v>822</v>
      </c>
      <c r="J762">
        <f t="shared" si="33"/>
        <v>0</v>
      </c>
      <c r="K762" t="str">
        <f t="shared" si="34"/>
        <v>On-Time</v>
      </c>
      <c r="L762">
        <f t="shared" ca="1" si="35"/>
        <v>1049</v>
      </c>
    </row>
    <row r="763" spans="1:12" x14ac:dyDescent="0.3">
      <c r="A763" t="s">
        <v>770</v>
      </c>
      <c r="B763" t="s">
        <v>809</v>
      </c>
      <c r="C763" s="3">
        <v>45618</v>
      </c>
      <c r="D763" s="3">
        <v>45648</v>
      </c>
      <c r="E763">
        <v>2573.94</v>
      </c>
      <c r="F763" t="s">
        <v>814</v>
      </c>
      <c r="G763" t="s">
        <v>821</v>
      </c>
      <c r="H763" s="3">
        <v>45648</v>
      </c>
      <c r="I763" t="s">
        <v>822</v>
      </c>
      <c r="J763">
        <f t="shared" si="33"/>
        <v>0</v>
      </c>
      <c r="K763" t="str">
        <f t="shared" si="34"/>
        <v>On-Time</v>
      </c>
      <c r="L763">
        <f t="shared" ca="1" si="35"/>
        <v>485</v>
      </c>
    </row>
    <row r="764" spans="1:12" x14ac:dyDescent="0.3">
      <c r="A764" t="s">
        <v>771</v>
      </c>
      <c r="B764" t="s">
        <v>809</v>
      </c>
      <c r="C764" s="3">
        <v>45679</v>
      </c>
      <c r="D764" s="3">
        <v>45709</v>
      </c>
      <c r="E764">
        <v>3760.26</v>
      </c>
      <c r="F764" t="s">
        <v>817</v>
      </c>
      <c r="G764" t="s">
        <v>819</v>
      </c>
      <c r="H764" s="3">
        <v>45718</v>
      </c>
      <c r="I764" t="s">
        <v>822</v>
      </c>
      <c r="J764">
        <f t="shared" si="33"/>
        <v>9</v>
      </c>
      <c r="K764" t="str">
        <f t="shared" si="34"/>
        <v>Pending</v>
      </c>
      <c r="L764">
        <f t="shared" ca="1" si="35"/>
        <v>424</v>
      </c>
    </row>
    <row r="765" spans="1:12" x14ac:dyDescent="0.3">
      <c r="A765" t="s">
        <v>772</v>
      </c>
      <c r="B765" t="s">
        <v>813</v>
      </c>
      <c r="C765" s="3">
        <v>45385</v>
      </c>
      <c r="D765" s="3">
        <v>45415</v>
      </c>
      <c r="E765">
        <v>645.44000000000005</v>
      </c>
      <c r="F765" t="s">
        <v>817</v>
      </c>
      <c r="G765" t="s">
        <v>821</v>
      </c>
      <c r="H765" s="3">
        <v>45415</v>
      </c>
      <c r="I765" t="s">
        <v>822</v>
      </c>
      <c r="J765">
        <f t="shared" si="33"/>
        <v>0</v>
      </c>
      <c r="K765" t="str">
        <f t="shared" si="34"/>
        <v>On-Time</v>
      </c>
      <c r="L765">
        <f t="shared" ca="1" si="35"/>
        <v>718</v>
      </c>
    </row>
    <row r="766" spans="1:12" x14ac:dyDescent="0.3">
      <c r="A766" t="s">
        <v>773</v>
      </c>
      <c r="B766" t="s">
        <v>813</v>
      </c>
      <c r="C766" s="3">
        <v>45148</v>
      </c>
      <c r="D766" s="3">
        <v>45178</v>
      </c>
      <c r="E766">
        <v>948.66</v>
      </c>
      <c r="F766" t="s">
        <v>816</v>
      </c>
      <c r="G766" t="s">
        <v>821</v>
      </c>
      <c r="H766" s="3">
        <v>45178</v>
      </c>
      <c r="I766" t="s">
        <v>822</v>
      </c>
      <c r="J766">
        <f t="shared" si="33"/>
        <v>0</v>
      </c>
      <c r="K766" t="str">
        <f t="shared" si="34"/>
        <v>On-Time</v>
      </c>
      <c r="L766">
        <f t="shared" ca="1" si="35"/>
        <v>955</v>
      </c>
    </row>
    <row r="767" spans="1:12" x14ac:dyDescent="0.3">
      <c r="A767" t="s">
        <v>774</v>
      </c>
      <c r="B767" t="s">
        <v>813</v>
      </c>
      <c r="C767" s="3">
        <v>45070</v>
      </c>
      <c r="D767" s="3">
        <v>45100</v>
      </c>
      <c r="E767">
        <v>4936.8</v>
      </c>
      <c r="F767" t="s">
        <v>818</v>
      </c>
      <c r="G767" t="s">
        <v>821</v>
      </c>
      <c r="H767" s="3">
        <v>45100</v>
      </c>
      <c r="I767" t="s">
        <v>822</v>
      </c>
      <c r="J767">
        <f t="shared" si="33"/>
        <v>0</v>
      </c>
      <c r="K767" t="str">
        <f t="shared" si="34"/>
        <v>On-Time</v>
      </c>
      <c r="L767">
        <f t="shared" ca="1" si="35"/>
        <v>1033</v>
      </c>
    </row>
    <row r="768" spans="1:12" x14ac:dyDescent="0.3">
      <c r="A768" t="s">
        <v>775</v>
      </c>
      <c r="B768" t="s">
        <v>811</v>
      </c>
      <c r="C768" s="3">
        <v>44988</v>
      </c>
      <c r="D768" s="3">
        <v>45018</v>
      </c>
      <c r="E768">
        <v>4286.67</v>
      </c>
      <c r="F768" t="s">
        <v>817</v>
      </c>
      <c r="G768" t="s">
        <v>821</v>
      </c>
      <c r="H768" s="3">
        <v>45018</v>
      </c>
      <c r="I768" t="s">
        <v>822</v>
      </c>
      <c r="J768">
        <f t="shared" si="33"/>
        <v>0</v>
      </c>
      <c r="K768" t="str">
        <f t="shared" si="34"/>
        <v>On-Time</v>
      </c>
      <c r="L768">
        <f t="shared" ca="1" si="35"/>
        <v>1115</v>
      </c>
    </row>
    <row r="769" spans="1:12" x14ac:dyDescent="0.3">
      <c r="A769" t="s">
        <v>776</v>
      </c>
      <c r="B769" t="s">
        <v>810</v>
      </c>
      <c r="C769" s="3">
        <v>45263</v>
      </c>
      <c r="D769" s="3">
        <v>45293</v>
      </c>
      <c r="E769">
        <v>4346.29</v>
      </c>
      <c r="F769" t="s">
        <v>816</v>
      </c>
      <c r="G769" t="s">
        <v>820</v>
      </c>
      <c r="H769" s="3">
        <v>45297</v>
      </c>
      <c r="I769" t="s">
        <v>822</v>
      </c>
      <c r="J769">
        <f t="shared" si="33"/>
        <v>4</v>
      </c>
      <c r="K769" t="str">
        <f t="shared" si="34"/>
        <v>Late</v>
      </c>
      <c r="L769">
        <f t="shared" ca="1" si="35"/>
        <v>840</v>
      </c>
    </row>
    <row r="770" spans="1:12" x14ac:dyDescent="0.3">
      <c r="A770" t="s">
        <v>777</v>
      </c>
      <c r="B770" t="s">
        <v>810</v>
      </c>
      <c r="C770" s="3">
        <v>45659</v>
      </c>
      <c r="D770" s="3">
        <v>45689</v>
      </c>
      <c r="E770">
        <v>2978.71</v>
      </c>
      <c r="F770" t="s">
        <v>816</v>
      </c>
      <c r="G770" t="s">
        <v>820</v>
      </c>
      <c r="H770" s="3">
        <v>45688</v>
      </c>
      <c r="I770" t="s">
        <v>822</v>
      </c>
      <c r="J770">
        <f t="shared" si="33"/>
        <v>-1</v>
      </c>
      <c r="K770" t="str">
        <f t="shared" si="34"/>
        <v>On-Time</v>
      </c>
      <c r="L770">
        <f t="shared" ca="1" si="35"/>
        <v>444</v>
      </c>
    </row>
    <row r="771" spans="1:12" x14ac:dyDescent="0.3">
      <c r="A771" t="s">
        <v>778</v>
      </c>
      <c r="B771" t="s">
        <v>811</v>
      </c>
      <c r="C771" s="3">
        <v>45752</v>
      </c>
      <c r="D771" s="3">
        <v>45782</v>
      </c>
      <c r="E771">
        <v>3489.97</v>
      </c>
      <c r="F771" t="s">
        <v>815</v>
      </c>
      <c r="G771" t="s">
        <v>819</v>
      </c>
      <c r="H771" s="3">
        <v>45784</v>
      </c>
      <c r="I771" t="s">
        <v>822</v>
      </c>
      <c r="J771">
        <f t="shared" ref="J771:J801" si="36">IF(H771="",0,H771-D771)</f>
        <v>2</v>
      </c>
      <c r="K771" t="str">
        <f t="shared" ref="K771:K801" si="37">IF(G771="Open","Pending",IF(H771&lt;=D771,"On-Time","Late"))</f>
        <v>Pending</v>
      </c>
      <c r="L771">
        <f t="shared" ref="L771:L801" ca="1" si="38">TODAY()-C771</f>
        <v>351</v>
      </c>
    </row>
    <row r="772" spans="1:12" x14ac:dyDescent="0.3">
      <c r="A772" t="s">
        <v>779</v>
      </c>
      <c r="B772" t="s">
        <v>812</v>
      </c>
      <c r="C772" s="3">
        <v>45648</v>
      </c>
      <c r="D772" s="3">
        <v>45678</v>
      </c>
      <c r="E772">
        <v>290.89999999999998</v>
      </c>
      <c r="F772" t="s">
        <v>814</v>
      </c>
      <c r="G772" t="s">
        <v>819</v>
      </c>
      <c r="H772" s="3">
        <v>45687</v>
      </c>
      <c r="I772" t="s">
        <v>822</v>
      </c>
      <c r="J772">
        <f t="shared" si="36"/>
        <v>9</v>
      </c>
      <c r="K772" t="str">
        <f t="shared" si="37"/>
        <v>Pending</v>
      </c>
      <c r="L772">
        <f t="shared" ca="1" si="38"/>
        <v>455</v>
      </c>
    </row>
    <row r="773" spans="1:12" x14ac:dyDescent="0.3">
      <c r="A773" t="s">
        <v>780</v>
      </c>
      <c r="B773" t="s">
        <v>813</v>
      </c>
      <c r="C773" s="3">
        <v>45725</v>
      </c>
      <c r="D773" s="3">
        <v>45755</v>
      </c>
      <c r="E773">
        <v>2592.92</v>
      </c>
      <c r="F773" t="s">
        <v>816</v>
      </c>
      <c r="G773" t="s">
        <v>820</v>
      </c>
      <c r="H773" s="3">
        <v>45761</v>
      </c>
      <c r="I773" t="s">
        <v>822</v>
      </c>
      <c r="J773">
        <f t="shared" si="36"/>
        <v>6</v>
      </c>
      <c r="K773" t="str">
        <f t="shared" si="37"/>
        <v>Late</v>
      </c>
      <c r="L773">
        <f t="shared" ca="1" si="38"/>
        <v>378</v>
      </c>
    </row>
    <row r="774" spans="1:12" x14ac:dyDescent="0.3">
      <c r="A774" t="s">
        <v>781</v>
      </c>
      <c r="B774" t="s">
        <v>811</v>
      </c>
      <c r="C774" s="3">
        <v>45505</v>
      </c>
      <c r="D774" s="3">
        <v>45535</v>
      </c>
      <c r="E774">
        <v>4904.8599999999997</v>
      </c>
      <c r="F774" t="s">
        <v>815</v>
      </c>
      <c r="G774" t="s">
        <v>819</v>
      </c>
      <c r="H774" s="3">
        <v>45536</v>
      </c>
      <c r="I774" t="s">
        <v>822</v>
      </c>
      <c r="J774">
        <f t="shared" si="36"/>
        <v>1</v>
      </c>
      <c r="K774" t="str">
        <f t="shared" si="37"/>
        <v>Pending</v>
      </c>
      <c r="L774">
        <f t="shared" ca="1" si="38"/>
        <v>598</v>
      </c>
    </row>
    <row r="775" spans="1:12" x14ac:dyDescent="0.3">
      <c r="A775" t="s">
        <v>782</v>
      </c>
      <c r="B775" t="s">
        <v>811</v>
      </c>
      <c r="C775" s="3">
        <v>45738</v>
      </c>
      <c r="D775" s="3">
        <v>45768</v>
      </c>
      <c r="E775">
        <v>2807.72</v>
      </c>
      <c r="F775" t="s">
        <v>816</v>
      </c>
      <c r="G775" t="s">
        <v>820</v>
      </c>
      <c r="H775" s="3">
        <v>45773</v>
      </c>
      <c r="I775" t="s">
        <v>822</v>
      </c>
      <c r="J775">
        <f t="shared" si="36"/>
        <v>5</v>
      </c>
      <c r="K775" t="str">
        <f t="shared" si="37"/>
        <v>Late</v>
      </c>
      <c r="L775">
        <f t="shared" ca="1" si="38"/>
        <v>365</v>
      </c>
    </row>
    <row r="776" spans="1:12" x14ac:dyDescent="0.3">
      <c r="A776" t="s">
        <v>783</v>
      </c>
      <c r="B776" t="s">
        <v>812</v>
      </c>
      <c r="C776" s="3">
        <v>45716</v>
      </c>
      <c r="D776" s="3">
        <v>45746</v>
      </c>
      <c r="E776">
        <v>3910.59</v>
      </c>
      <c r="F776" t="s">
        <v>814</v>
      </c>
      <c r="G776" t="s">
        <v>819</v>
      </c>
      <c r="H776" s="3">
        <v>45750</v>
      </c>
      <c r="I776" t="s">
        <v>822</v>
      </c>
      <c r="J776">
        <f t="shared" si="36"/>
        <v>4</v>
      </c>
      <c r="K776" t="str">
        <f t="shared" si="37"/>
        <v>Pending</v>
      </c>
      <c r="L776">
        <f t="shared" ca="1" si="38"/>
        <v>387</v>
      </c>
    </row>
    <row r="777" spans="1:12" x14ac:dyDescent="0.3">
      <c r="A777" t="s">
        <v>784</v>
      </c>
      <c r="B777" t="s">
        <v>812</v>
      </c>
      <c r="C777" s="3">
        <v>45083</v>
      </c>
      <c r="D777" s="3">
        <v>45113</v>
      </c>
      <c r="E777">
        <v>1583.9</v>
      </c>
      <c r="F777" t="s">
        <v>814</v>
      </c>
      <c r="G777" t="s">
        <v>820</v>
      </c>
      <c r="H777" s="3">
        <v>45114</v>
      </c>
      <c r="I777" t="s">
        <v>822</v>
      </c>
      <c r="J777">
        <f t="shared" si="36"/>
        <v>1</v>
      </c>
      <c r="K777" t="str">
        <f t="shared" si="37"/>
        <v>Late</v>
      </c>
      <c r="L777">
        <f t="shared" ca="1" si="38"/>
        <v>1020</v>
      </c>
    </row>
    <row r="778" spans="1:12" x14ac:dyDescent="0.3">
      <c r="A778" t="s">
        <v>785</v>
      </c>
      <c r="B778" t="s">
        <v>809</v>
      </c>
      <c r="C778" s="3">
        <v>45723</v>
      </c>
      <c r="D778" s="3">
        <v>45753</v>
      </c>
      <c r="E778">
        <v>734.99</v>
      </c>
      <c r="F778" t="s">
        <v>816</v>
      </c>
      <c r="G778" t="s">
        <v>820</v>
      </c>
      <c r="H778" s="3">
        <v>45751</v>
      </c>
      <c r="I778" t="s">
        <v>822</v>
      </c>
      <c r="J778">
        <f t="shared" si="36"/>
        <v>-2</v>
      </c>
      <c r="K778" t="str">
        <f t="shared" si="37"/>
        <v>On-Time</v>
      </c>
      <c r="L778">
        <f t="shared" ca="1" si="38"/>
        <v>380</v>
      </c>
    </row>
    <row r="779" spans="1:12" x14ac:dyDescent="0.3">
      <c r="A779" t="s">
        <v>786</v>
      </c>
      <c r="B779" t="s">
        <v>811</v>
      </c>
      <c r="C779" s="3">
        <v>45315</v>
      </c>
      <c r="D779" s="3">
        <v>45345</v>
      </c>
      <c r="E779">
        <v>2547.7800000000002</v>
      </c>
      <c r="F779" t="s">
        <v>818</v>
      </c>
      <c r="G779" t="s">
        <v>819</v>
      </c>
      <c r="H779" s="3">
        <v>45352</v>
      </c>
      <c r="I779" t="s">
        <v>822</v>
      </c>
      <c r="J779">
        <f t="shared" si="36"/>
        <v>7</v>
      </c>
      <c r="K779" t="str">
        <f t="shared" si="37"/>
        <v>Pending</v>
      </c>
      <c r="L779">
        <f t="shared" ca="1" si="38"/>
        <v>788</v>
      </c>
    </row>
    <row r="780" spans="1:12" x14ac:dyDescent="0.3">
      <c r="A780" t="s">
        <v>787</v>
      </c>
      <c r="B780" t="s">
        <v>811</v>
      </c>
      <c r="C780" s="3">
        <v>45608</v>
      </c>
      <c r="D780" s="3">
        <v>45638</v>
      </c>
      <c r="E780">
        <v>4777.6400000000003</v>
      </c>
      <c r="F780" t="s">
        <v>818</v>
      </c>
      <c r="G780" t="s">
        <v>820</v>
      </c>
      <c r="H780" s="3">
        <v>45640</v>
      </c>
      <c r="I780" t="s">
        <v>822</v>
      </c>
      <c r="J780">
        <f t="shared" si="36"/>
        <v>2</v>
      </c>
      <c r="K780" t="str">
        <f t="shared" si="37"/>
        <v>Late</v>
      </c>
      <c r="L780">
        <f t="shared" ca="1" si="38"/>
        <v>495</v>
      </c>
    </row>
    <row r="781" spans="1:12" x14ac:dyDescent="0.3">
      <c r="A781" t="s">
        <v>788</v>
      </c>
      <c r="B781" t="s">
        <v>810</v>
      </c>
      <c r="C781" s="3">
        <v>45231</v>
      </c>
      <c r="D781" s="3">
        <v>45261</v>
      </c>
      <c r="E781">
        <v>791.99</v>
      </c>
      <c r="F781" t="s">
        <v>816</v>
      </c>
      <c r="G781" t="s">
        <v>821</v>
      </c>
      <c r="H781" s="3">
        <v>45261</v>
      </c>
      <c r="I781" t="s">
        <v>822</v>
      </c>
      <c r="J781">
        <f t="shared" si="36"/>
        <v>0</v>
      </c>
      <c r="K781" t="str">
        <f t="shared" si="37"/>
        <v>On-Time</v>
      </c>
      <c r="L781">
        <f t="shared" ca="1" si="38"/>
        <v>872</v>
      </c>
    </row>
    <row r="782" spans="1:12" x14ac:dyDescent="0.3">
      <c r="A782" t="s">
        <v>789</v>
      </c>
      <c r="B782" t="s">
        <v>811</v>
      </c>
      <c r="C782" s="3">
        <v>45533</v>
      </c>
      <c r="D782" s="3">
        <v>45563</v>
      </c>
      <c r="E782">
        <v>4963.01</v>
      </c>
      <c r="F782" t="s">
        <v>817</v>
      </c>
      <c r="G782" t="s">
        <v>820</v>
      </c>
      <c r="H782" s="3">
        <v>45571</v>
      </c>
      <c r="I782" t="s">
        <v>822</v>
      </c>
      <c r="J782">
        <f t="shared" si="36"/>
        <v>8</v>
      </c>
      <c r="K782" t="str">
        <f t="shared" si="37"/>
        <v>Late</v>
      </c>
      <c r="L782">
        <f t="shared" ca="1" si="38"/>
        <v>570</v>
      </c>
    </row>
    <row r="783" spans="1:12" x14ac:dyDescent="0.3">
      <c r="A783" t="s">
        <v>790</v>
      </c>
      <c r="B783" t="s">
        <v>809</v>
      </c>
      <c r="C783" s="3">
        <v>45126</v>
      </c>
      <c r="D783" s="3">
        <v>45156</v>
      </c>
      <c r="E783">
        <v>4539.28</v>
      </c>
      <c r="F783" t="s">
        <v>816</v>
      </c>
      <c r="G783" t="s">
        <v>821</v>
      </c>
      <c r="H783" s="3">
        <v>45156</v>
      </c>
      <c r="I783" t="s">
        <v>822</v>
      </c>
      <c r="J783">
        <f t="shared" si="36"/>
        <v>0</v>
      </c>
      <c r="K783" t="str">
        <f t="shared" si="37"/>
        <v>On-Time</v>
      </c>
      <c r="L783">
        <f t="shared" ca="1" si="38"/>
        <v>977</v>
      </c>
    </row>
    <row r="784" spans="1:12" x14ac:dyDescent="0.3">
      <c r="A784" t="s">
        <v>791</v>
      </c>
      <c r="B784" t="s">
        <v>810</v>
      </c>
      <c r="C784" s="3">
        <v>45615</v>
      </c>
      <c r="D784" s="3">
        <v>45645</v>
      </c>
      <c r="E784">
        <v>3114.85</v>
      </c>
      <c r="F784" t="s">
        <v>814</v>
      </c>
      <c r="G784" t="s">
        <v>820</v>
      </c>
      <c r="H784" s="3">
        <v>45644</v>
      </c>
      <c r="I784" t="s">
        <v>822</v>
      </c>
      <c r="J784">
        <f t="shared" si="36"/>
        <v>-1</v>
      </c>
      <c r="K784" t="str">
        <f t="shared" si="37"/>
        <v>On-Time</v>
      </c>
      <c r="L784">
        <f t="shared" ca="1" si="38"/>
        <v>488</v>
      </c>
    </row>
    <row r="785" spans="1:12" x14ac:dyDescent="0.3">
      <c r="A785" t="s">
        <v>792</v>
      </c>
      <c r="B785" t="s">
        <v>812</v>
      </c>
      <c r="C785" s="3">
        <v>45768</v>
      </c>
      <c r="D785" s="3">
        <v>45798</v>
      </c>
      <c r="E785">
        <v>3340.58</v>
      </c>
      <c r="F785" t="s">
        <v>818</v>
      </c>
      <c r="G785" t="s">
        <v>821</v>
      </c>
      <c r="H785" s="3">
        <v>45798</v>
      </c>
      <c r="I785" t="s">
        <v>822</v>
      </c>
      <c r="J785">
        <f t="shared" si="36"/>
        <v>0</v>
      </c>
      <c r="K785" t="str">
        <f t="shared" si="37"/>
        <v>On-Time</v>
      </c>
      <c r="L785">
        <f t="shared" ca="1" si="38"/>
        <v>335</v>
      </c>
    </row>
    <row r="786" spans="1:12" x14ac:dyDescent="0.3">
      <c r="A786" t="s">
        <v>793</v>
      </c>
      <c r="B786" t="s">
        <v>811</v>
      </c>
      <c r="C786" s="3">
        <v>45754</v>
      </c>
      <c r="D786" s="3">
        <v>45784</v>
      </c>
      <c r="E786">
        <v>4187.3</v>
      </c>
      <c r="F786" t="s">
        <v>818</v>
      </c>
      <c r="G786" t="s">
        <v>821</v>
      </c>
      <c r="H786" s="3">
        <v>45784</v>
      </c>
      <c r="I786" t="s">
        <v>822</v>
      </c>
      <c r="J786">
        <f t="shared" si="36"/>
        <v>0</v>
      </c>
      <c r="K786" t="str">
        <f t="shared" si="37"/>
        <v>On-Time</v>
      </c>
      <c r="L786">
        <f t="shared" ca="1" si="38"/>
        <v>349</v>
      </c>
    </row>
    <row r="787" spans="1:12" x14ac:dyDescent="0.3">
      <c r="A787" t="s">
        <v>794</v>
      </c>
      <c r="B787" t="s">
        <v>810</v>
      </c>
      <c r="C787" s="3">
        <v>45249</v>
      </c>
      <c r="D787" s="3">
        <v>45279</v>
      </c>
      <c r="E787">
        <v>4020.64</v>
      </c>
      <c r="F787" t="s">
        <v>815</v>
      </c>
      <c r="G787" t="s">
        <v>821</v>
      </c>
      <c r="H787" s="3">
        <v>45279</v>
      </c>
      <c r="I787" t="s">
        <v>822</v>
      </c>
      <c r="J787">
        <f t="shared" si="36"/>
        <v>0</v>
      </c>
      <c r="K787" t="str">
        <f t="shared" si="37"/>
        <v>On-Time</v>
      </c>
      <c r="L787">
        <f t="shared" ca="1" si="38"/>
        <v>854</v>
      </c>
    </row>
    <row r="788" spans="1:12" x14ac:dyDescent="0.3">
      <c r="A788" t="s">
        <v>795</v>
      </c>
      <c r="B788" t="s">
        <v>813</v>
      </c>
      <c r="C788" s="3">
        <v>45687</v>
      </c>
      <c r="D788" s="3">
        <v>45717</v>
      </c>
      <c r="E788">
        <v>755.89</v>
      </c>
      <c r="F788" t="s">
        <v>816</v>
      </c>
      <c r="G788" t="s">
        <v>820</v>
      </c>
      <c r="H788" s="3">
        <v>45724</v>
      </c>
      <c r="I788" t="s">
        <v>822</v>
      </c>
      <c r="J788">
        <f t="shared" si="36"/>
        <v>7</v>
      </c>
      <c r="K788" t="str">
        <f t="shared" si="37"/>
        <v>Late</v>
      </c>
      <c r="L788">
        <f t="shared" ca="1" si="38"/>
        <v>416</v>
      </c>
    </row>
    <row r="789" spans="1:12" x14ac:dyDescent="0.3">
      <c r="A789" t="s">
        <v>796</v>
      </c>
      <c r="B789" t="s">
        <v>811</v>
      </c>
      <c r="C789" s="3">
        <v>45115</v>
      </c>
      <c r="D789" s="3">
        <v>45145</v>
      </c>
      <c r="E789">
        <v>1670.28</v>
      </c>
      <c r="F789" t="s">
        <v>815</v>
      </c>
      <c r="G789" t="s">
        <v>821</v>
      </c>
      <c r="H789" s="3">
        <v>45145</v>
      </c>
      <c r="I789" t="s">
        <v>822</v>
      </c>
      <c r="J789">
        <f t="shared" si="36"/>
        <v>0</v>
      </c>
      <c r="K789" t="str">
        <f t="shared" si="37"/>
        <v>On-Time</v>
      </c>
      <c r="L789">
        <f t="shared" ca="1" si="38"/>
        <v>988</v>
      </c>
    </row>
    <row r="790" spans="1:12" x14ac:dyDescent="0.3">
      <c r="A790" t="s">
        <v>797</v>
      </c>
      <c r="B790" t="s">
        <v>809</v>
      </c>
      <c r="C790" s="3">
        <v>45551</v>
      </c>
      <c r="D790" s="3">
        <v>45581</v>
      </c>
      <c r="E790">
        <v>4064.87</v>
      </c>
      <c r="F790" t="s">
        <v>814</v>
      </c>
      <c r="G790" t="s">
        <v>820</v>
      </c>
      <c r="H790" s="3">
        <v>45588</v>
      </c>
      <c r="I790" t="s">
        <v>822</v>
      </c>
      <c r="J790">
        <f t="shared" si="36"/>
        <v>7</v>
      </c>
      <c r="K790" t="str">
        <f t="shared" si="37"/>
        <v>Late</v>
      </c>
      <c r="L790">
        <f t="shared" ca="1" si="38"/>
        <v>552</v>
      </c>
    </row>
    <row r="791" spans="1:12" x14ac:dyDescent="0.3">
      <c r="A791" t="s">
        <v>798</v>
      </c>
      <c r="B791" t="s">
        <v>810</v>
      </c>
      <c r="C791" s="3">
        <v>44975</v>
      </c>
      <c r="D791" s="3">
        <v>45005</v>
      </c>
      <c r="E791">
        <v>4071.09</v>
      </c>
      <c r="F791" t="s">
        <v>817</v>
      </c>
      <c r="G791" t="s">
        <v>820</v>
      </c>
      <c r="H791" s="3">
        <v>45014</v>
      </c>
      <c r="I791" t="s">
        <v>822</v>
      </c>
      <c r="J791">
        <f t="shared" si="36"/>
        <v>9</v>
      </c>
      <c r="K791" t="str">
        <f t="shared" si="37"/>
        <v>Late</v>
      </c>
      <c r="L791">
        <f t="shared" ca="1" si="38"/>
        <v>1128</v>
      </c>
    </row>
    <row r="792" spans="1:12" x14ac:dyDescent="0.3">
      <c r="A792" t="s">
        <v>799</v>
      </c>
      <c r="B792" t="s">
        <v>809</v>
      </c>
      <c r="C792" s="3">
        <v>45682</v>
      </c>
      <c r="D792" s="3">
        <v>45712</v>
      </c>
      <c r="E792">
        <v>311.52</v>
      </c>
      <c r="F792" t="s">
        <v>816</v>
      </c>
      <c r="G792" t="s">
        <v>819</v>
      </c>
      <c r="H792" s="3">
        <v>45718</v>
      </c>
      <c r="I792" t="s">
        <v>822</v>
      </c>
      <c r="J792">
        <f t="shared" si="36"/>
        <v>6</v>
      </c>
      <c r="K792" t="str">
        <f t="shared" si="37"/>
        <v>Pending</v>
      </c>
      <c r="L792">
        <f t="shared" ca="1" si="38"/>
        <v>421</v>
      </c>
    </row>
    <row r="793" spans="1:12" x14ac:dyDescent="0.3">
      <c r="A793" t="s">
        <v>800</v>
      </c>
      <c r="B793" t="s">
        <v>810</v>
      </c>
      <c r="C793" s="3">
        <v>45467</v>
      </c>
      <c r="D793" s="3">
        <v>45497</v>
      </c>
      <c r="E793">
        <v>4351.8</v>
      </c>
      <c r="F793" t="s">
        <v>818</v>
      </c>
      <c r="G793" t="s">
        <v>821</v>
      </c>
      <c r="H793" s="3">
        <v>45497</v>
      </c>
      <c r="I793" t="s">
        <v>822</v>
      </c>
      <c r="J793">
        <f t="shared" si="36"/>
        <v>0</v>
      </c>
      <c r="K793" t="str">
        <f t="shared" si="37"/>
        <v>On-Time</v>
      </c>
      <c r="L793">
        <f t="shared" ca="1" si="38"/>
        <v>636</v>
      </c>
    </row>
    <row r="794" spans="1:12" x14ac:dyDescent="0.3">
      <c r="A794" t="s">
        <v>801</v>
      </c>
      <c r="B794" t="s">
        <v>809</v>
      </c>
      <c r="C794" s="3">
        <v>45354</v>
      </c>
      <c r="D794" s="3">
        <v>45384</v>
      </c>
      <c r="E794">
        <v>3524.51</v>
      </c>
      <c r="F794" t="s">
        <v>816</v>
      </c>
      <c r="G794" t="s">
        <v>819</v>
      </c>
      <c r="H794" s="3">
        <v>45394</v>
      </c>
      <c r="I794" t="s">
        <v>822</v>
      </c>
      <c r="J794">
        <f t="shared" si="36"/>
        <v>10</v>
      </c>
      <c r="K794" t="str">
        <f t="shared" si="37"/>
        <v>Pending</v>
      </c>
      <c r="L794">
        <f t="shared" ca="1" si="38"/>
        <v>749</v>
      </c>
    </row>
    <row r="795" spans="1:12" x14ac:dyDescent="0.3">
      <c r="A795" t="s">
        <v>802</v>
      </c>
      <c r="B795" t="s">
        <v>809</v>
      </c>
      <c r="C795" s="3">
        <v>44978</v>
      </c>
      <c r="D795" s="3">
        <v>45008</v>
      </c>
      <c r="E795">
        <v>2999.23</v>
      </c>
      <c r="F795" t="s">
        <v>818</v>
      </c>
      <c r="G795" t="s">
        <v>821</v>
      </c>
      <c r="H795" s="3">
        <v>45008</v>
      </c>
      <c r="I795" t="s">
        <v>822</v>
      </c>
      <c r="J795">
        <f t="shared" si="36"/>
        <v>0</v>
      </c>
      <c r="K795" t="str">
        <f t="shared" si="37"/>
        <v>On-Time</v>
      </c>
      <c r="L795">
        <f t="shared" ca="1" si="38"/>
        <v>1125</v>
      </c>
    </row>
    <row r="796" spans="1:12" x14ac:dyDescent="0.3">
      <c r="A796" t="s">
        <v>803</v>
      </c>
      <c r="B796" t="s">
        <v>810</v>
      </c>
      <c r="C796" s="3">
        <v>45543</v>
      </c>
      <c r="D796" s="3">
        <v>45573</v>
      </c>
      <c r="E796">
        <v>754.06</v>
      </c>
      <c r="F796" t="s">
        <v>814</v>
      </c>
      <c r="G796" t="s">
        <v>820</v>
      </c>
      <c r="H796" s="3">
        <v>45582</v>
      </c>
      <c r="I796" t="s">
        <v>822</v>
      </c>
      <c r="J796">
        <f t="shared" si="36"/>
        <v>9</v>
      </c>
      <c r="K796" t="str">
        <f t="shared" si="37"/>
        <v>Late</v>
      </c>
      <c r="L796">
        <f t="shared" ca="1" si="38"/>
        <v>560</v>
      </c>
    </row>
    <row r="797" spans="1:12" x14ac:dyDescent="0.3">
      <c r="A797" t="s">
        <v>804</v>
      </c>
      <c r="B797" t="s">
        <v>810</v>
      </c>
      <c r="C797" s="3">
        <v>44961</v>
      </c>
      <c r="D797" s="3">
        <v>44991</v>
      </c>
      <c r="E797">
        <v>4250.7</v>
      </c>
      <c r="F797" t="s">
        <v>818</v>
      </c>
      <c r="G797" t="s">
        <v>821</v>
      </c>
      <c r="H797" s="3">
        <v>44991</v>
      </c>
      <c r="I797" t="s">
        <v>822</v>
      </c>
      <c r="J797">
        <f t="shared" si="36"/>
        <v>0</v>
      </c>
      <c r="K797" t="str">
        <f t="shared" si="37"/>
        <v>On-Time</v>
      </c>
      <c r="L797">
        <f t="shared" ca="1" si="38"/>
        <v>1142</v>
      </c>
    </row>
    <row r="798" spans="1:12" x14ac:dyDescent="0.3">
      <c r="A798" t="s">
        <v>805</v>
      </c>
      <c r="B798" t="s">
        <v>809</v>
      </c>
      <c r="C798" s="3">
        <v>45384</v>
      </c>
      <c r="D798" s="3">
        <v>45414</v>
      </c>
      <c r="E798">
        <v>613.6</v>
      </c>
      <c r="F798" t="s">
        <v>816</v>
      </c>
      <c r="G798" t="s">
        <v>819</v>
      </c>
      <c r="H798" s="3">
        <v>45413</v>
      </c>
      <c r="I798" t="s">
        <v>822</v>
      </c>
      <c r="J798">
        <f t="shared" si="36"/>
        <v>-1</v>
      </c>
      <c r="K798" t="str">
        <f t="shared" si="37"/>
        <v>Pending</v>
      </c>
      <c r="L798">
        <f t="shared" ca="1" si="38"/>
        <v>719</v>
      </c>
    </row>
    <row r="799" spans="1:12" x14ac:dyDescent="0.3">
      <c r="A799" t="s">
        <v>806</v>
      </c>
      <c r="B799" t="s">
        <v>812</v>
      </c>
      <c r="C799" s="3">
        <v>45732</v>
      </c>
      <c r="D799" s="3">
        <v>45762</v>
      </c>
      <c r="E799">
        <v>1012.88</v>
      </c>
      <c r="F799" t="s">
        <v>814</v>
      </c>
      <c r="G799" t="s">
        <v>820</v>
      </c>
      <c r="H799" s="3">
        <v>45763</v>
      </c>
      <c r="I799" t="s">
        <v>822</v>
      </c>
      <c r="J799">
        <f t="shared" si="36"/>
        <v>1</v>
      </c>
      <c r="K799" t="str">
        <f t="shared" si="37"/>
        <v>Late</v>
      </c>
      <c r="L799">
        <f t="shared" ca="1" si="38"/>
        <v>371</v>
      </c>
    </row>
    <row r="800" spans="1:12" x14ac:dyDescent="0.3">
      <c r="A800" t="s">
        <v>807</v>
      </c>
      <c r="B800" t="s">
        <v>811</v>
      </c>
      <c r="C800" s="3">
        <v>45827</v>
      </c>
      <c r="D800" s="3">
        <v>45857</v>
      </c>
      <c r="E800">
        <v>290.27</v>
      </c>
      <c r="F800" t="s">
        <v>816</v>
      </c>
      <c r="G800" t="s">
        <v>820</v>
      </c>
      <c r="H800" s="3">
        <v>45863</v>
      </c>
      <c r="I800" t="s">
        <v>822</v>
      </c>
      <c r="J800">
        <f t="shared" si="36"/>
        <v>6</v>
      </c>
      <c r="K800" t="str">
        <f t="shared" si="37"/>
        <v>Late</v>
      </c>
      <c r="L800">
        <f t="shared" ca="1" si="38"/>
        <v>276</v>
      </c>
    </row>
    <row r="801" spans="1:12" x14ac:dyDescent="0.3">
      <c r="A801" t="s">
        <v>808</v>
      </c>
      <c r="B801" t="s">
        <v>812</v>
      </c>
      <c r="C801" s="3">
        <v>45648</v>
      </c>
      <c r="D801" s="3">
        <v>45678</v>
      </c>
      <c r="E801">
        <v>4608.55</v>
      </c>
      <c r="F801" t="s">
        <v>818</v>
      </c>
      <c r="G801" t="s">
        <v>820</v>
      </c>
      <c r="H801" s="3">
        <v>45682</v>
      </c>
      <c r="I801" t="s">
        <v>822</v>
      </c>
      <c r="J801">
        <f t="shared" si="36"/>
        <v>4</v>
      </c>
      <c r="K801" t="str">
        <f t="shared" si="37"/>
        <v>Late</v>
      </c>
      <c r="L801">
        <f t="shared" ca="1" si="38"/>
        <v>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jatin verma</cp:lastModifiedBy>
  <dcterms:created xsi:type="dcterms:W3CDTF">2025-06-28T04:56:09Z</dcterms:created>
  <dcterms:modified xsi:type="dcterms:W3CDTF">2026-03-22T13:50:38Z</dcterms:modified>
</cp:coreProperties>
</file>